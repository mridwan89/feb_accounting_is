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2026. Cek Gaji\202609. September\"/>
    </mc:Choice>
  </mc:AlternateContent>
  <xr:revisionPtr revIDLastSave="0" documentId="13_ncr:1_{C19CA522-FE67-46CF-A0AF-30E439672B9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Rekap" sheetId="1" r:id="rId1"/>
    <sheet name="Koreksi_Terbayar" sheetId="2" r:id="rId2"/>
    <sheet name="Penelitian Okt 2026" sheetId="3" r:id="rId3"/>
    <sheet name="PPM Sep 2026" sheetId="4" r:id="rId4"/>
    <sheet name="PPM Okt 2026" sheetId="5" r:id="rId5"/>
  </sheets>
  <definedNames>
    <definedName name="_xlnm.Print_Area" localSheetId="2">'Penelitian Okt 2026'!$A$1:$O$546</definedName>
    <definedName name="_xlnm.Print_Area" localSheetId="4">'PPM Okt 2026'!$A$1:$O$484</definedName>
    <definedName name="_xlnm.Print_Area" localSheetId="3">'PPM Sep 2026'!$A$1:$M$484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65" i="5" l="1"/>
  <c r="K465" i="5" s="1"/>
  <c r="I464" i="5"/>
  <c r="K464" i="5" s="1"/>
  <c r="I463" i="5"/>
  <c r="K463" i="5" s="1"/>
  <c r="I462" i="5"/>
  <c r="K462" i="5" s="1"/>
  <c r="K461" i="5"/>
  <c r="I461" i="5"/>
  <c r="I430" i="5"/>
  <c r="K430" i="5" s="1"/>
  <c r="I429" i="5"/>
  <c r="K429" i="5" s="1"/>
  <c r="K428" i="5"/>
  <c r="I428" i="5"/>
  <c r="I427" i="5"/>
  <c r="K427" i="5" s="1"/>
  <c r="D432" i="5" s="1"/>
  <c r="I396" i="5"/>
  <c r="K396" i="5" s="1"/>
  <c r="I395" i="5"/>
  <c r="K395" i="5" s="1"/>
  <c r="I394" i="5"/>
  <c r="K394" i="5" s="1"/>
  <c r="I393" i="5"/>
  <c r="K393" i="5" s="1"/>
  <c r="I392" i="5"/>
  <c r="G16" i="5" s="1"/>
  <c r="I361" i="5"/>
  <c r="K361" i="5" s="1"/>
  <c r="I360" i="5"/>
  <c r="K360" i="5" s="1"/>
  <c r="I359" i="5"/>
  <c r="K359" i="5" s="1"/>
  <c r="I358" i="5"/>
  <c r="I357" i="5"/>
  <c r="K357" i="5" s="1"/>
  <c r="I326" i="5"/>
  <c r="K326" i="5" s="1"/>
  <c r="I325" i="5"/>
  <c r="K325" i="5" s="1"/>
  <c r="I324" i="5"/>
  <c r="K324" i="5" s="1"/>
  <c r="I323" i="5"/>
  <c r="K323" i="5" s="1"/>
  <c r="I322" i="5"/>
  <c r="G14" i="5" s="1"/>
  <c r="I291" i="5"/>
  <c r="K291" i="5" s="1"/>
  <c r="I290" i="5"/>
  <c r="K290" i="5" s="1"/>
  <c r="I289" i="5"/>
  <c r="I288" i="5"/>
  <c r="K288" i="5" s="1"/>
  <c r="I257" i="5"/>
  <c r="K257" i="5" s="1"/>
  <c r="I256" i="5"/>
  <c r="K256" i="5" s="1"/>
  <c r="I255" i="5"/>
  <c r="K255" i="5" s="1"/>
  <c r="I254" i="5"/>
  <c r="K254" i="5" s="1"/>
  <c r="D259" i="5" s="1"/>
  <c r="I223" i="5"/>
  <c r="K223" i="5" s="1"/>
  <c r="I222" i="5"/>
  <c r="I221" i="5"/>
  <c r="K221" i="5" s="1"/>
  <c r="I220" i="5"/>
  <c r="K220" i="5" s="1"/>
  <c r="I189" i="5"/>
  <c r="K189" i="5" s="1"/>
  <c r="I188" i="5"/>
  <c r="K188" i="5" s="1"/>
  <c r="I187" i="5"/>
  <c r="K187" i="5" s="1"/>
  <c r="I186" i="5"/>
  <c r="K186" i="5" s="1"/>
  <c r="I155" i="5"/>
  <c r="K155" i="5" s="1"/>
  <c r="I154" i="5"/>
  <c r="K154" i="5" s="1"/>
  <c r="I153" i="5"/>
  <c r="K153" i="5" s="1"/>
  <c r="K152" i="5"/>
  <c r="I152" i="5"/>
  <c r="I151" i="5"/>
  <c r="I120" i="5"/>
  <c r="K120" i="5" s="1"/>
  <c r="I119" i="5"/>
  <c r="K119" i="5" s="1"/>
  <c r="I118" i="5"/>
  <c r="K118" i="5" s="1"/>
  <c r="I117" i="5"/>
  <c r="I116" i="5"/>
  <c r="K116" i="5" s="1"/>
  <c r="I85" i="5"/>
  <c r="K85" i="5" s="1"/>
  <c r="I84" i="5"/>
  <c r="K84" i="5" s="1"/>
  <c r="I83" i="5"/>
  <c r="K83" i="5" s="1"/>
  <c r="I82" i="5"/>
  <c r="I81" i="5"/>
  <c r="K81" i="5" s="1"/>
  <c r="I50" i="5"/>
  <c r="K50" i="5" s="1"/>
  <c r="I49" i="5"/>
  <c r="K49" i="5" s="1"/>
  <c r="I48" i="5"/>
  <c r="K48" i="5" s="1"/>
  <c r="K47" i="5"/>
  <c r="I47" i="5"/>
  <c r="F19" i="5"/>
  <c r="J18" i="5"/>
  <c r="J17" i="5"/>
  <c r="J16" i="5"/>
  <c r="J15" i="5"/>
  <c r="J14" i="5"/>
  <c r="J13" i="5"/>
  <c r="J12" i="5"/>
  <c r="J11" i="5"/>
  <c r="J10" i="5"/>
  <c r="G10" i="5"/>
  <c r="J9" i="5"/>
  <c r="J8" i="5"/>
  <c r="J7" i="5"/>
  <c r="J6" i="5"/>
  <c r="G6" i="5"/>
  <c r="I465" i="4"/>
  <c r="I464" i="4"/>
  <c r="I463" i="4"/>
  <c r="I462" i="4"/>
  <c r="I461" i="4"/>
  <c r="I430" i="4"/>
  <c r="I429" i="4"/>
  <c r="I428" i="4"/>
  <c r="I427" i="4"/>
  <c r="I396" i="4"/>
  <c r="I395" i="4"/>
  <c r="I394" i="4"/>
  <c r="I393" i="4"/>
  <c r="I392" i="4"/>
  <c r="D398" i="4" s="1"/>
  <c r="I361" i="4"/>
  <c r="I360" i="4"/>
  <c r="I359" i="4"/>
  <c r="I358" i="4"/>
  <c r="I357" i="4"/>
  <c r="I326" i="4"/>
  <c r="I325" i="4"/>
  <c r="I324" i="4"/>
  <c r="I323" i="4"/>
  <c r="I322" i="4"/>
  <c r="I291" i="4"/>
  <c r="I290" i="4"/>
  <c r="I289" i="4"/>
  <c r="I288" i="4"/>
  <c r="I257" i="4"/>
  <c r="I256" i="4"/>
  <c r="I255" i="4"/>
  <c r="I254" i="4"/>
  <c r="I223" i="4"/>
  <c r="I222" i="4"/>
  <c r="I221" i="4"/>
  <c r="I220" i="4"/>
  <c r="D225" i="4" s="1"/>
  <c r="I189" i="4"/>
  <c r="I188" i="4"/>
  <c r="I187" i="4"/>
  <c r="D191" i="4" s="1"/>
  <c r="I186" i="4"/>
  <c r="I155" i="4"/>
  <c r="I154" i="4"/>
  <c r="I153" i="4"/>
  <c r="I152" i="4"/>
  <c r="I151" i="4"/>
  <c r="I120" i="4"/>
  <c r="I119" i="4"/>
  <c r="I118" i="4"/>
  <c r="I117" i="4"/>
  <c r="I116" i="4"/>
  <c r="D122" i="4" s="1"/>
  <c r="I85" i="4"/>
  <c r="I84" i="4"/>
  <c r="I83" i="4"/>
  <c r="I82" i="4"/>
  <c r="I81" i="4"/>
  <c r="D87" i="4" s="1"/>
  <c r="M94" i="4" s="1"/>
  <c r="I50" i="4"/>
  <c r="I49" i="4"/>
  <c r="I48" i="4"/>
  <c r="I47" i="4"/>
  <c r="F19" i="4"/>
  <c r="I527" i="3"/>
  <c r="K527" i="3" s="1"/>
  <c r="I526" i="3"/>
  <c r="K526" i="3" s="1"/>
  <c r="I525" i="3"/>
  <c r="I494" i="3"/>
  <c r="K494" i="3" s="1"/>
  <c r="I493" i="3"/>
  <c r="K493" i="3" s="1"/>
  <c r="I492" i="3"/>
  <c r="K492" i="3" s="1"/>
  <c r="I491" i="3"/>
  <c r="I460" i="3"/>
  <c r="K460" i="3" s="1"/>
  <c r="K459" i="3"/>
  <c r="I459" i="3"/>
  <c r="I458" i="3"/>
  <c r="K458" i="3" s="1"/>
  <c r="I457" i="3"/>
  <c r="K457" i="3" s="1"/>
  <c r="I456" i="3"/>
  <c r="K456" i="3" s="1"/>
  <c r="I425" i="3"/>
  <c r="K425" i="3" s="1"/>
  <c r="I424" i="3"/>
  <c r="K424" i="3" s="1"/>
  <c r="I423" i="3"/>
  <c r="K423" i="3" s="1"/>
  <c r="I422" i="3"/>
  <c r="I391" i="3"/>
  <c r="K391" i="3" s="1"/>
  <c r="K390" i="3"/>
  <c r="I390" i="3"/>
  <c r="I389" i="3"/>
  <c r="K389" i="3" s="1"/>
  <c r="I388" i="3"/>
  <c r="G16" i="3" s="1"/>
  <c r="I357" i="3"/>
  <c r="K357" i="3" s="1"/>
  <c r="I356" i="3"/>
  <c r="K356" i="3" s="1"/>
  <c r="K355" i="3"/>
  <c r="I355" i="3"/>
  <c r="I354" i="3"/>
  <c r="K354" i="3" s="1"/>
  <c r="I353" i="3"/>
  <c r="K353" i="3" s="1"/>
  <c r="I322" i="3"/>
  <c r="K322" i="3" s="1"/>
  <c r="I321" i="3"/>
  <c r="K321" i="3" s="1"/>
  <c r="I320" i="3"/>
  <c r="K320" i="3" s="1"/>
  <c r="I319" i="3"/>
  <c r="K319" i="3" s="1"/>
  <c r="I288" i="3"/>
  <c r="K288" i="3" s="1"/>
  <c r="I287" i="3"/>
  <c r="K287" i="3" s="1"/>
  <c r="I286" i="3"/>
  <c r="K286" i="3" s="1"/>
  <c r="I285" i="3"/>
  <c r="I254" i="3"/>
  <c r="I253" i="3"/>
  <c r="K253" i="3" s="1"/>
  <c r="I252" i="3"/>
  <c r="K252" i="3" s="1"/>
  <c r="I221" i="3"/>
  <c r="K221" i="3" s="1"/>
  <c r="I220" i="3"/>
  <c r="K220" i="3" s="1"/>
  <c r="I219" i="3"/>
  <c r="G11" i="3" s="1"/>
  <c r="I188" i="3"/>
  <c r="K188" i="3" s="1"/>
  <c r="I187" i="3"/>
  <c r="K187" i="3" s="1"/>
  <c r="I186" i="3"/>
  <c r="K186" i="3" s="1"/>
  <c r="I185" i="3"/>
  <c r="G10" i="3" s="1"/>
  <c r="I154" i="3"/>
  <c r="K154" i="3" s="1"/>
  <c r="I153" i="3"/>
  <c r="K153" i="3" s="1"/>
  <c r="K152" i="3"/>
  <c r="I152" i="3"/>
  <c r="I151" i="3"/>
  <c r="K151" i="3" s="1"/>
  <c r="I120" i="3"/>
  <c r="K120" i="3" s="1"/>
  <c r="K119" i="3"/>
  <c r="I119" i="3"/>
  <c r="I118" i="3"/>
  <c r="K118" i="3" s="1"/>
  <c r="I117" i="3"/>
  <c r="K117" i="3" s="1"/>
  <c r="I86" i="3"/>
  <c r="K86" i="3" s="1"/>
  <c r="I85" i="3"/>
  <c r="K85" i="3" s="1"/>
  <c r="I84" i="3"/>
  <c r="K84" i="3" s="1"/>
  <c r="K83" i="3"/>
  <c r="I83" i="3"/>
  <c r="I52" i="3"/>
  <c r="K52" i="3" s="1"/>
  <c r="I51" i="3"/>
  <c r="K51" i="3" s="1"/>
  <c r="I50" i="3"/>
  <c r="K50" i="3" s="1"/>
  <c r="I49" i="3"/>
  <c r="K49" i="3" s="1"/>
  <c r="F21" i="3"/>
  <c r="J20" i="3"/>
  <c r="J21" i="3" s="1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G7" i="3"/>
  <c r="J6" i="3"/>
  <c r="G33" i="2"/>
  <c r="I24" i="2"/>
  <c r="J24" i="2" s="1"/>
  <c r="J23" i="2"/>
  <c r="I23" i="2"/>
  <c r="I22" i="2"/>
  <c r="J22" i="2" s="1"/>
  <c r="I21" i="2"/>
  <c r="J21" i="2" s="1"/>
  <c r="I20" i="2"/>
  <c r="J20" i="2" s="1"/>
  <c r="I19" i="2"/>
  <c r="J19" i="2" s="1"/>
  <c r="F33" i="2" s="1"/>
  <c r="H33" i="2" s="1"/>
  <c r="I18" i="2"/>
  <c r="J18" i="2" s="1"/>
  <c r="I17" i="2"/>
  <c r="J17" i="2" s="1"/>
  <c r="I16" i="2"/>
  <c r="J16" i="2" s="1"/>
  <c r="I15" i="2"/>
  <c r="J15" i="2" s="1"/>
  <c r="F29" i="2" s="1"/>
  <c r="J14" i="2"/>
  <c r="I14" i="2"/>
  <c r="I13" i="2"/>
  <c r="J13" i="2" s="1"/>
  <c r="F31" i="2" s="1"/>
  <c r="I12" i="2"/>
  <c r="J12" i="2" s="1"/>
  <c r="I11" i="2"/>
  <c r="J11" i="2" s="1"/>
  <c r="G29" i="2" s="1"/>
  <c r="I10" i="2"/>
  <c r="J10" i="2" s="1"/>
  <c r="G32" i="2" s="1"/>
  <c r="I9" i="2"/>
  <c r="J9" i="2" s="1"/>
  <c r="G34" i="2" s="1"/>
  <c r="J8" i="2"/>
  <c r="G31" i="2" s="1"/>
  <c r="I8" i="2"/>
  <c r="I7" i="2"/>
  <c r="J7" i="2" s="1"/>
  <c r="G30" i="2" s="1"/>
  <c r="I6" i="2"/>
  <c r="J6" i="2" s="1"/>
  <c r="B48" i="1"/>
  <c r="E47" i="1"/>
  <c r="B46" i="1"/>
  <c r="E24" i="1"/>
  <c r="C23" i="1"/>
  <c r="C25" i="1" s="1"/>
  <c r="B23" i="1"/>
  <c r="B25" i="1" s="1"/>
  <c r="M198" i="4" l="1"/>
  <c r="G10" i="4"/>
  <c r="C37" i="1" s="1"/>
  <c r="D54" i="3"/>
  <c r="G8" i="5"/>
  <c r="G13" i="3"/>
  <c r="G7" i="5"/>
  <c r="D156" i="3"/>
  <c r="D328" i="4"/>
  <c r="G14" i="4" s="1"/>
  <c r="C41" i="1" s="1"/>
  <c r="G11" i="5"/>
  <c r="G17" i="3"/>
  <c r="K392" i="5"/>
  <c r="D398" i="5" s="1"/>
  <c r="G13" i="5"/>
  <c r="G9" i="5"/>
  <c r="D359" i="3"/>
  <c r="O366" i="3" s="1"/>
  <c r="D259" i="4"/>
  <c r="M266" i="4" s="1"/>
  <c r="J19" i="5"/>
  <c r="F35" i="2"/>
  <c r="G19" i="3"/>
  <c r="D293" i="4"/>
  <c r="M300" i="4" s="1"/>
  <c r="D52" i="4"/>
  <c r="G6" i="4" s="1"/>
  <c r="D467" i="4"/>
  <c r="M474" i="4" s="1"/>
  <c r="D52" i="5"/>
  <c r="O59" i="5" s="1"/>
  <c r="D191" i="5"/>
  <c r="D467" i="5"/>
  <c r="D363" i="4"/>
  <c r="D462" i="3"/>
  <c r="F30" i="2"/>
  <c r="K388" i="3"/>
  <c r="D393" i="3"/>
  <c r="K16" i="3" s="1"/>
  <c r="D18" i="1" s="1"/>
  <c r="E18" i="1" s="1"/>
  <c r="D157" i="4"/>
  <c r="M164" i="4" s="1"/>
  <c r="D324" i="3"/>
  <c r="G9" i="3"/>
  <c r="D88" i="3"/>
  <c r="D432" i="4"/>
  <c r="M439" i="4" s="1"/>
  <c r="G12" i="3"/>
  <c r="G20" i="3"/>
  <c r="G15" i="5"/>
  <c r="O266" i="5"/>
  <c r="K12" i="5"/>
  <c r="D39" i="1" s="1"/>
  <c r="O61" i="3"/>
  <c r="K6" i="3"/>
  <c r="G11" i="4"/>
  <c r="C38" i="1" s="1"/>
  <c r="M232" i="4"/>
  <c r="O439" i="5"/>
  <c r="K17" i="5"/>
  <c r="D44" i="1" s="1"/>
  <c r="M129" i="4"/>
  <c r="G8" i="4"/>
  <c r="C35" i="1" s="1"/>
  <c r="J25" i="2"/>
  <c r="G35" i="2"/>
  <c r="G36" i="2" s="1"/>
  <c r="M335" i="4"/>
  <c r="O405" i="5"/>
  <c r="K16" i="5"/>
  <c r="D43" i="1" s="1"/>
  <c r="G15" i="4"/>
  <c r="C42" i="1" s="1"/>
  <c r="M370" i="4"/>
  <c r="F32" i="2"/>
  <c r="H32" i="2" s="1"/>
  <c r="O474" i="5"/>
  <c r="K18" i="5"/>
  <c r="D45" i="1" s="1"/>
  <c r="O198" i="5"/>
  <c r="K10" i="5"/>
  <c r="D37" i="1" s="1"/>
  <c r="E37" i="1" s="1"/>
  <c r="K9" i="3"/>
  <c r="D11" i="1" s="1"/>
  <c r="E11" i="1" s="1"/>
  <c r="O163" i="3"/>
  <c r="O331" i="3"/>
  <c r="K14" i="3"/>
  <c r="D16" i="1" s="1"/>
  <c r="E16" i="1" s="1"/>
  <c r="K18" i="3"/>
  <c r="D20" i="1" s="1"/>
  <c r="E20" i="1" s="1"/>
  <c r="O469" i="3"/>
  <c r="M405" i="4"/>
  <c r="G16" i="4"/>
  <c r="C43" i="1" s="1"/>
  <c r="D293" i="5"/>
  <c r="H31" i="2"/>
  <c r="F34" i="2"/>
  <c r="H34" i="2" s="1"/>
  <c r="K7" i="3"/>
  <c r="D9" i="1" s="1"/>
  <c r="E9" i="1" s="1"/>
  <c r="O95" i="3"/>
  <c r="H30" i="2"/>
  <c r="D122" i="3"/>
  <c r="K422" i="3"/>
  <c r="D427" i="3" s="1"/>
  <c r="H29" i="2"/>
  <c r="G6" i="3"/>
  <c r="G7" i="4"/>
  <c r="C34" i="1" s="1"/>
  <c r="G17" i="5"/>
  <c r="K82" i="5"/>
  <c r="D87" i="5" s="1"/>
  <c r="K151" i="5"/>
  <c r="D157" i="5" s="1"/>
  <c r="K289" i="5"/>
  <c r="K358" i="5"/>
  <c r="D363" i="5" s="1"/>
  <c r="G14" i="3"/>
  <c r="K185" i="3"/>
  <c r="D190" i="3" s="1"/>
  <c r="K254" i="3"/>
  <c r="D256" i="3" s="1"/>
  <c r="K222" i="5"/>
  <c r="D225" i="5" s="1"/>
  <c r="G8" i="3"/>
  <c r="K285" i="3"/>
  <c r="D290" i="3" s="1"/>
  <c r="G15" i="3"/>
  <c r="G12" i="5"/>
  <c r="G18" i="5"/>
  <c r="K219" i="3"/>
  <c r="D223" i="3" s="1"/>
  <c r="K491" i="3"/>
  <c r="D496" i="3" s="1"/>
  <c r="K322" i="5"/>
  <c r="D328" i="5" s="1"/>
  <c r="K117" i="5"/>
  <c r="D122" i="5" s="1"/>
  <c r="G18" i="3"/>
  <c r="K525" i="3"/>
  <c r="D529" i="3" s="1"/>
  <c r="G18" i="4" l="1"/>
  <c r="C45" i="1" s="1"/>
  <c r="K6" i="5"/>
  <c r="M59" i="4"/>
  <c r="G17" i="4"/>
  <c r="C44" i="1" s="1"/>
  <c r="E44" i="1" s="1"/>
  <c r="G9" i="4"/>
  <c r="C36" i="1" s="1"/>
  <c r="G13" i="4"/>
  <c r="C40" i="1" s="1"/>
  <c r="G19" i="5"/>
  <c r="O400" i="3"/>
  <c r="G12" i="4"/>
  <c r="C39" i="1" s="1"/>
  <c r="E39" i="1" s="1"/>
  <c r="K15" i="3"/>
  <c r="D17" i="1" s="1"/>
  <c r="E17" i="1" s="1"/>
  <c r="O129" i="5"/>
  <c r="K8" i="5"/>
  <c r="D35" i="1" s="1"/>
  <c r="E35" i="1" s="1"/>
  <c r="K17" i="3"/>
  <c r="D19" i="1" s="1"/>
  <c r="E19" i="1" s="1"/>
  <c r="O434" i="3"/>
  <c r="O232" i="5"/>
  <c r="K11" i="5"/>
  <c r="D38" i="1" s="1"/>
  <c r="E38" i="1" s="1"/>
  <c r="O230" i="3"/>
  <c r="K11" i="3"/>
  <c r="D13" i="1" s="1"/>
  <c r="E13" i="1" s="1"/>
  <c r="K7" i="5"/>
  <c r="D34" i="1" s="1"/>
  <c r="E34" i="1" s="1"/>
  <c r="O94" i="5"/>
  <c r="K19" i="3"/>
  <c r="D21" i="1" s="1"/>
  <c r="E21" i="1" s="1"/>
  <c r="O503" i="3"/>
  <c r="E45" i="1"/>
  <c r="K13" i="5"/>
  <c r="D40" i="1" s="1"/>
  <c r="O300" i="5"/>
  <c r="E43" i="1"/>
  <c r="O335" i="5"/>
  <c r="K14" i="5"/>
  <c r="D41" i="1" s="1"/>
  <c r="E41" i="1" s="1"/>
  <c r="E42" i="1"/>
  <c r="D8" i="1"/>
  <c r="K8" i="3"/>
  <c r="D10" i="1" s="1"/>
  <c r="E10" i="1" s="1"/>
  <c r="O129" i="3"/>
  <c r="O297" i="3"/>
  <c r="K13" i="3"/>
  <c r="D15" i="1" s="1"/>
  <c r="E15" i="1" s="1"/>
  <c r="O164" i="5"/>
  <c r="K9" i="5"/>
  <c r="D36" i="1" s="1"/>
  <c r="E36" i="1" s="1"/>
  <c r="O263" i="3"/>
  <c r="K12" i="3"/>
  <c r="D14" i="1" s="1"/>
  <c r="E14" i="1" s="1"/>
  <c r="K10" i="3"/>
  <c r="D12" i="1" s="1"/>
  <c r="E12" i="1" s="1"/>
  <c r="O197" i="3"/>
  <c r="G19" i="4"/>
  <c r="C33" i="1"/>
  <c r="K15" i="5"/>
  <c r="D42" i="1" s="1"/>
  <c r="O370" i="5"/>
  <c r="D33" i="1"/>
  <c r="G21" i="3"/>
  <c r="H35" i="2"/>
  <c r="O536" i="3"/>
  <c r="K20" i="3"/>
  <c r="D22" i="1" s="1"/>
  <c r="E22" i="1" s="1"/>
  <c r="H36" i="2"/>
  <c r="F36" i="2"/>
  <c r="K21" i="3" l="1"/>
  <c r="K19" i="5"/>
  <c r="E40" i="1"/>
  <c r="D46" i="1"/>
  <c r="D48" i="1" s="1"/>
  <c r="C46" i="1"/>
  <c r="C48" i="1" s="1"/>
  <c r="E33" i="1"/>
  <c r="E46" i="1" s="1"/>
  <c r="D23" i="1"/>
  <c r="D25" i="1" s="1"/>
  <c r="E8" i="1"/>
  <c r="E23" i="1" s="1"/>
  <c r="E25" i="1" l="1"/>
  <c r="E27" i="1"/>
  <c r="E50" i="1"/>
  <c r="E48" i="1"/>
</calcChain>
</file>

<file path=xl/sharedStrings.xml><?xml version="1.0" encoding="utf-8"?>
<sst xmlns="http://schemas.openxmlformats.org/spreadsheetml/2006/main" count="2436" uniqueCount="280">
  <si>
    <t>Daftar Pembayaran Honorarium Penelitian dan PPM Agustus - Oktober 2026 (Ajuan Rekap September 2026) - Ikhtisar per Kelompok dan Bulan</t>
  </si>
  <si>
    <t>Sesuai rincian 202609_feb_unpas_rincian_honorarium_penelitian_ppm_rev_06: nama sesuai SK 022/Unpas.FEB.D/SK/II/2026; tarif mengajar reguler pagi per bulan; pensiunan memakai tabel tarif DLB.</t>
  </si>
  <si>
    <t>Bulan yang sudah dibayar dengan daftar lama dicatat sebesar realisasinya (tanpa voucher baru). Selisihnya dibayar atau dipotong di voucher Oktober 2026 (kolom KOREKSI, sheet Koreksi_Terbayar).</t>
  </si>
  <si>
    <t>Honorarium Penelitian</t>
  </si>
  <si>
    <t>Kelompok</t>
  </si>
  <si>
    <t>Agustus 2026</t>
  </si>
  <si>
    <t>September 2026</t>
  </si>
  <si>
    <t>Oktober 2026</t>
  </si>
  <si>
    <t>Jumlah</t>
  </si>
  <si>
    <t>Status</t>
  </si>
  <si>
    <t>Sudah dibayar (daftar lama)</t>
  </si>
  <si>
    <t>Daftar ini, termasuk koreksi</t>
  </si>
  <si>
    <t>Kelompok 1</t>
  </si>
  <si>
    <t>Kelompok 2</t>
  </si>
  <si>
    <t>Kelompok 3</t>
  </si>
  <si>
    <t>Kelompok 4</t>
  </si>
  <si>
    <t>Kelompok 5</t>
  </si>
  <si>
    <t>Kelompok 6</t>
  </si>
  <si>
    <t>Kelompok 7</t>
  </si>
  <si>
    <t>Kelompok 8</t>
  </si>
  <si>
    <t>Kelompok 9</t>
  </si>
  <si>
    <t>Kelompok 10</t>
  </si>
  <si>
    <t>Kelompok 11</t>
  </si>
  <si>
    <t>Kelompok 12</t>
  </si>
  <si>
    <t>Kelompok 13</t>
  </si>
  <si>
    <t>Kelompok 14</t>
  </si>
  <si>
    <t>Hibah Dikti</t>
  </si>
  <si>
    <t>JUMLAH DIBAYAR</t>
  </si>
  <si>
    <t>Honor sesuai rincian</t>
  </si>
  <si>
    <t>Selisih (koreksi dipindah)</t>
  </si>
  <si>
    <t>Rekap September O37</t>
  </si>
  <si>
    <t>Cek</t>
  </si>
  <si>
    <t>Honorarium PPM</t>
  </si>
  <si>
    <t>Daftar ini</t>
  </si>
  <si>
    <t>Rekap September O38</t>
  </si>
  <si>
    <t>Catatan:</t>
  </si>
  <si>
    <t>1. Voucher hanya untuk bulan ajuan ini yang belum dibayar: Penelitian Oktober 2026, PPM September dan Oktober 2026. Setiap sheet: halaman pertama rekapitulasi bulan itu, lalu Bukti Kas Keluar per kelompok.</t>
  </si>
  <si>
    <t>2. PPM Agustus dan Penelitian Agustus-September 2026 sudah dibayar dengan daftar lama (46.212.324 per program per bulan, sheet Realisasi daftar fakultas; kolom abu-abu).</t>
  </si>
  <si>
    <t>3. Selisihnya masuk voucher Oktober 2026 program yang sama (kolom KOREKSI): Penelitian +268.608, PPM +212.376. Rincian per orang: sheet Koreksi_Terbayar.</t>
  </si>
  <si>
    <t>4. Penelitian November 2026 - Januari 2027 (137.701.476) dan PPM November 2026 (46.085.856) diajukan di rekap Oktober (arahan WD II 25 Sep 2026); vouchernya dibuat bersama ajuan Oktober dengan tarif data Oktober.</t>
  </si>
  <si>
    <t>5. Tanggal, nomor bukti, dan tanda tangan diisi saat pembayaran. NO. POS: Penelitian 3.3.3, PPM 3.4.3 (sama dengan daftar fakultas).</t>
  </si>
  <si>
    <t>6. PPh 21 atas honor belum dipotong di daftar ini; potong saat pembayaran sesuai ketentuan.</t>
  </si>
  <si>
    <t>Koreksi Honor yang Sudah Dibayar dengan Daftar Lama - Dibayar atau Dipotong pada Pembayaran Oktober 2026</t>
  </si>
  <si>
    <t>PPM Agustus 2026 dan Penelitian Agustus-September 2026 sudah dibayar dengan daftar fakultas (sheet Realisasi, 46.212.324 per program per bulan). Selisih terhadap tarif rincian masuk voucher Oktober 2026 program yang sama (kolom KOREKSI).</t>
  </si>
  <si>
    <t>Positif = kurang bayar (ditambahkan); negatif = lebih bayar (dipotong). Arahan WD II 25 September 2026.</t>
  </si>
  <si>
    <t>No</t>
  </si>
  <si>
    <t>Nama (SK 022/2026)</t>
  </si>
  <si>
    <t>NoPeg</t>
  </si>
  <si>
    <t>Program</t>
  </si>
  <si>
    <t>Bulan</t>
  </si>
  <si>
    <t>Tarif dibayar</t>
  </si>
  <si>
    <t>Tarif seharusnya</t>
  </si>
  <si>
    <t>Selisih tarif</t>
  </si>
  <si>
    <t>Selisih honor</t>
  </si>
  <si>
    <t>Keterangan</t>
  </si>
  <si>
    <t>Erry S. R. Pangestu, S.E., M.M.</t>
  </si>
  <si>
    <t>D11030</t>
  </si>
  <si>
    <t>PPM</t>
  </si>
  <si>
    <t>Tarif di daftar tertukar dengan Dikdik Kusdiana (seharusnya 63.787)</t>
  </si>
  <si>
    <t>Mohamad Razab Iryadana, S.T., M.M.</t>
  </si>
  <si>
    <t>D11069</t>
  </si>
  <si>
    <t>Tarif aplikasi 61.162 sejak Juli 2026 (pendidikan S3)</t>
  </si>
  <si>
    <t>Dr. Endang Rostiana, S.E., M.T.</t>
  </si>
  <si>
    <t>D11044</t>
  </si>
  <si>
    <t>Tarif aplikasi 74.287 sejak Agustus 2026 (Lektor Kepala)</t>
  </si>
  <si>
    <t>Hj. Neni M. Santoso, S.E., M.Si.</t>
  </si>
  <si>
    <t>D11007</t>
  </si>
  <si>
    <t>Agustus tarif dosen tetap 61.162; mulai September tarif DLB IIIb 45.000</t>
  </si>
  <si>
    <t>R. Muchamad Noch Drs., M.Ak., Ak., C.A.</t>
  </si>
  <si>
    <t>D12007</t>
  </si>
  <si>
    <t>Pensiunan: tarif DLB IV/b 57.000 sesuai SK pensiun</t>
  </si>
  <si>
    <t>Dr. Dikdik Kusdiana, S.E., M.T.</t>
  </si>
  <si>
    <t>D11029</t>
  </si>
  <si>
    <t>Tarif di daftar tertukar dengan Erry S. R. Pangestu (seharusnya 78.225)</t>
  </si>
  <si>
    <t>Penelitian</t>
  </si>
  <si>
    <t>Mochammad Ridwan, S.E., Ak., M.Si.</t>
  </si>
  <si>
    <t>D11055</t>
  </si>
  <si>
    <t>Mulai September tarif 64.418 (Lektor Kepala)</t>
  </si>
  <si>
    <t>JUMLAH</t>
  </si>
  <si>
    <t>Ringkasan per orang - masuk voucher Oktober 2026</t>
  </si>
  <si>
    <t>Kel. Penelitian</t>
  </si>
  <si>
    <t>Kel. PPM</t>
  </si>
  <si>
    <t>Koreksi Penelitian</t>
  </si>
  <si>
    <t>Koreksi PPM</t>
  </si>
  <si>
    <t>Tindak lanjut</t>
  </si>
  <si>
    <t>Voucher Oktober 2026 - Penelitian Kelompok 10: ditambah 346.512; PPM Kelompok 13: ditambah 173.256</t>
  </si>
  <si>
    <t>Voucher Oktober 2026 - Penelitian Kelompok 3: ditambah 176.400; PPM Kelompok 7: ditambah 88.200</t>
  </si>
  <si>
    <t>Voucher Oktober 2026 - Penelitian Kelompok 10: ditambah 75.576; PPM Kelompok 10: ditambah 37.788</t>
  </si>
  <si>
    <t>Voucher Oktober 2026 - Penelitian Kelompok 14: ditambah 72.000; PPM Kelompok 11: ditambah 36.000</t>
  </si>
  <si>
    <t>Voucher Oktober 2026 - Penelitian Kelompok 8: ditambah 37.800</t>
  </si>
  <si>
    <t>Voucher Oktober 2026 - Penelitian Kelompok 10: dipotong 93.168; PPM Kelompok 10: ditambah 50.388</t>
  </si>
  <si>
    <t>Voucher Oktober 2026 - Penelitian Kelompok 11: dipotong 346.512; PPM Kelompok 6: dipotong 173.256</t>
  </si>
  <si>
    <t>REKAPITULASI HONORARIUM BULANAN SETARA 3 SKS PENELITIAN</t>
  </si>
  <si>
    <t>FAKULTAS EKONOMI DAN BISNIS UNIVERSITAS PASUNDAN</t>
  </si>
  <si>
    <t>TAHUN AKADEMIK 2026/2027 - BULAN OKTOBER 2026 (BULAN KE-3 DARI 6)</t>
  </si>
  <si>
    <t>Termasuk koreksi honor Penelitian Agustus-September 2026 yang sudah dibayar dengan daftar lama (sheet Koreksi_Terbayar)</t>
  </si>
  <si>
    <t>No.</t>
  </si>
  <si>
    <t>Dosen</t>
  </si>
  <si>
    <t>Honor Bulan Ini (Rp)</t>
  </si>
  <si>
    <t>Koreksi (Rp)</t>
  </si>
  <si>
    <t>Jumlah Dana (Rp)</t>
  </si>
  <si>
    <t>Tarif DLB: Popo Suryana (DLB IVc)</t>
  </si>
  <si>
    <t>Koreksi: Mohamad Razab Iryadana +176.400</t>
  </si>
  <si>
    <t>Tarif DLB: Atty Tri Juniarti (DLB IVc)</t>
  </si>
  <si>
    <t>Koreksi: Mochammad Ridwan +37.800</t>
  </si>
  <si>
    <t>Tarif DLB: Neni M. Santoso (DLB IIIb)
Koreksi: Endang Rostiana +75.576; Neni M. Santoso -93.168; Dikdik Kusdiana +346.512</t>
  </si>
  <si>
    <t>Koreksi: Erry S. R. Pangestu -346.512</t>
  </si>
  <si>
    <t>Tarif DLB: Liza Laila Nurwulan (DLB IVd)</t>
  </si>
  <si>
    <t>Tarif DLB: R. Muchamad Noch (DLB IVb)
Koreksi: R. Muchamad Noch +72.000</t>
  </si>
  <si>
    <t>Bandung, ....................................</t>
  </si>
  <si>
    <t>Wakil Dekan Bidang Riset dan Kerjasama,</t>
  </si>
  <si>
    <t>Wakil Dekan Bidang Perencanaan, Sumber Daya, Keuangan, dan Sistem Teknologi Informasi,</t>
  </si>
  <si>
    <t>Mengetahui, Dekan,</t>
  </si>
  <si>
    <t>Prof. Dr. H. Juanim, S.E., M.Si.</t>
  </si>
  <si>
    <t>FAKULTAS EKONOMI DAN BISNIS</t>
  </si>
  <si>
    <t>UNIVERSITAS PASUNDAN</t>
  </si>
  <si>
    <t>Jl. Tamansari No. 4–8, Bandung 40116</t>
  </si>
  <si>
    <t>Telp. 022-4233646; 4208363 | e-mail: fekon@unpas.ac.id</t>
  </si>
  <si>
    <t>BUKTI KAS KELUAR</t>
  </si>
  <si>
    <t>No. Bukti</t>
  </si>
  <si>
    <t>:</t>
  </si>
  <si>
    <t>………………….</t>
  </si>
  <si>
    <t>Dibayarkan kepada :</t>
  </si>
  <si>
    <t>Anggota Kelompok 1 Penelitian</t>
  </si>
  <si>
    <t>NO.</t>
  </si>
  <si>
    <t>NAMA</t>
  </si>
  <si>
    <t>SKS</t>
  </si>
  <si>
    <t>TARIF</t>
  </si>
  <si>
    <t>HONOR</t>
  </si>
  <si>
    <t>KOREKSI</t>
  </si>
  <si>
    <t>DIBAYAR</t>
  </si>
  <si>
    <t>TANDA TANGAN</t>
  </si>
  <si>
    <t>1.</t>
  </si>
  <si>
    <t>Prof. Dr. Hj. Erni Rusyani, S.E., M.M.</t>
  </si>
  <si>
    <t>………………</t>
  </si>
  <si>
    <t>2.</t>
  </si>
  <si>
    <t>Dr. H. Undang Juju, S.E., M.Si.</t>
  </si>
  <si>
    <t>3.</t>
  </si>
  <si>
    <t>Desy Nurrohmah, S.Si., M.M.</t>
  </si>
  <si>
    <t>4.</t>
  </si>
  <si>
    <t>Intan Ramdhaniatulfitri, S.E., M.E.</t>
  </si>
  <si>
    <t>Jumlah Uang</t>
  </si>
  <si>
    <t>Terbilang</t>
  </si>
  <si>
    <t>Dua juta sembilan ratus enam puluh tiga ribu enam ratus delapan puluh delapan rupiah</t>
  </si>
  <si>
    <t>Untuk keperluan</t>
  </si>
  <si>
    <t>Honor Bulanan Penelitian Fakultas Setara 3 SKS</t>
  </si>
  <si>
    <t>Bulan Oktober 2026</t>
  </si>
  <si>
    <t>MENYETUJUI :</t>
  </si>
  <si>
    <t>TANGGAL</t>
  </si>
  <si>
    <t>NO. POS</t>
  </si>
  <si>
    <t>Dekan</t>
  </si>
  <si>
    <t>3.3.3</t>
  </si>
  <si>
    <t>Wakil Dekan II</t>
  </si>
  <si>
    <t>Wakil Dekan III</t>
  </si>
  <si>
    <t>Ksb. Keuangan</t>
  </si>
  <si>
    <t>Anggota Kelompok 2 Penelitian</t>
  </si>
  <si>
    <t>Dr. Yudhi Koesworodjati, S.E., M.P.A.</t>
  </si>
  <si>
    <t>Dr. Wasito, S.E., M.S.I.E.</t>
  </si>
  <si>
    <t>Rifa Fauziah, S.I.Kom., M.M.</t>
  </si>
  <si>
    <t>Dr. H. Popo Suryana, S.E., M.Si.</t>
  </si>
  <si>
    <t>Tiga juta lima ribu seratus rupiah</t>
  </si>
  <si>
    <t>Anggota Kelompok 3 Penelitian</t>
  </si>
  <si>
    <t>Dr. H. Tete Saepudin, S.E., M.Si.</t>
  </si>
  <si>
    <t>Dr. H. Heru Setiawan, S.E., M.M.</t>
  </si>
  <si>
    <t>Yusuf Reynaldi, S.E., M.M.</t>
  </si>
  <si>
    <t>Koreksi = selisih honor Penelitian Agustus-September 2026 yang sudah dibayar dengan daftar lama; positif kurang bayar (ditambahkan), negatif lebih bayar (dipotong). Rincian: sheet Koreksi_Terbayar.</t>
  </si>
  <si>
    <t>Tiga juta tiga ratus sebelas ribu sembilan ratus delapan puluh delapan rupiah</t>
  </si>
  <si>
    <t>serta koreksi honor Agustus-September 2026 yang sudah dibayar</t>
  </si>
  <si>
    <t>Anggota Kelompok 4 Penelitian</t>
  </si>
  <si>
    <t>Hj. Ratu Hedy Syahidah Budiarti, S.E., S.S., M.M.</t>
  </si>
  <si>
    <t>Budi Septiawan, S.E., M.Ak., M.I.M.</t>
  </si>
  <si>
    <t>Bingky Aresia Landarica, S.E., M.Ak.</t>
  </si>
  <si>
    <t>Lira Mustika Sari, S.E., MSM.</t>
  </si>
  <si>
    <t>Dua juta enam ratus sembilan puluh empat ribu lima ratus empat rupiah</t>
  </si>
  <si>
    <t>Anggota Kelompok 5 Penelitian</t>
  </si>
  <si>
    <t>Anne Tonthawi, S.E., M.M., M.Ak.</t>
  </si>
  <si>
    <t>Dr. Ifa Ratifah, S.E., M.Si., Ak., C.A.</t>
  </si>
  <si>
    <t>Hj. Justinia Castellani, S.E., M.Si., Ak., C.A.</t>
  </si>
  <si>
    <t>Dr. Annisa Adha Minaryanti, S.E., M.Ak., Ak., C.A.</t>
  </si>
  <si>
    <t>Tiga juta delapan puluh dua ribu lima ratus delapan puluh empat rupiah</t>
  </si>
  <si>
    <t>Anggota Kelompok 6 Penelitian</t>
  </si>
  <si>
    <t>Dr. Ardi Gunardi, S.E., M.Si.</t>
  </si>
  <si>
    <t>Prof. Dr. H. Jaja Suteja, S.E., M.Si., C.F.R.M., D.B.A.</t>
  </si>
  <si>
    <t>Dr. Erik Syawal Alghifari, S.E., M.M.</t>
  </si>
  <si>
    <t>Dua juta lima ratus enam puluh lima ribu sembilan ratus delapan puluh empat rupiah</t>
  </si>
  <si>
    <t>Anggota Kelompok 7 Penelitian</t>
  </si>
  <si>
    <t>Dr. Ina Ratnamiasih, S.E., M.Si.</t>
  </si>
  <si>
    <t>Dr. Atty Tri Juniarti, S.E., M.Si.</t>
  </si>
  <si>
    <t>Dua juta lima ratus delapan puluh tujuh ribu sembilan ratus empat puluh empat rupiah</t>
  </si>
  <si>
    <t>Anggota Kelompok 8 Penelitian</t>
  </si>
  <si>
    <t>Dr. Bayu Indra Setia, S.E., M.Si.</t>
  </si>
  <si>
    <t>Prof. Dr. H. Azhar Affandi, S.E., M.Sc.</t>
  </si>
  <si>
    <t>Muhammad Iqbal Baihaqi, S.E., M.M.</t>
  </si>
  <si>
    <t>Tiga juta tiga ratus dua puluh lima ribu tujuh ratus tujuh puluh enam rupiah</t>
  </si>
  <si>
    <t>Anggota Kelompok 9 Penelitian</t>
  </si>
  <si>
    <t>Dr. Isye Siti Aisyah,S.E., M.Si., Ak.</t>
  </si>
  <si>
    <t>Dr. Hj. Taty Sariwulan, S.E., M.Si., Ak., C.A.</t>
  </si>
  <si>
    <t>Dadan Soekardan, S.E., M.Si., Ak., C.A.</t>
  </si>
  <si>
    <t>Glen Lazwardi Qurba, S.E., M.Ak.</t>
  </si>
  <si>
    <t>Tiga juta enam puluh empat ribu sembilan ratus empat puluh empat rupiah</t>
  </si>
  <si>
    <t>Anggota Kelompok 10 Penelitian</t>
  </si>
  <si>
    <t>Restu Akbar Suryaman, S.E., M.E.</t>
  </si>
  <si>
    <t>5.</t>
  </si>
  <si>
    <t>Gugum Mukdas Sudarjah, S.E., M.T.</t>
  </si>
  <si>
    <t>Empat juta lima puluh empat ribu seratus delapan puluh delapan rupiah</t>
  </si>
  <si>
    <t>Anggota Kelompok 11 Penelitian</t>
  </si>
  <si>
    <t>Dr. H. Rohmat Sarman, S.E., M.Si.</t>
  </si>
  <si>
    <t>Muhammad Ichsan Rauf, S.E., M.Ak.</t>
  </si>
  <si>
    <t>H. Hendra Subagja, S.E., M.M.</t>
  </si>
  <si>
    <t>Dua juta empat ratus tujuh puluh empat ribu tujuh puluh enam rupiah</t>
  </si>
  <si>
    <t>Anggota Kelompok 12 Penelitian</t>
  </si>
  <si>
    <t>Dr. Hj. Ellen Rusliati, S.E., M.S.I.E.</t>
  </si>
  <si>
    <t>Dr. Ruslina Lisda, S.E., M.Si., Ak., C.A.</t>
  </si>
  <si>
    <t>Dr. Hj. Liza Laila Nurwulan, S.E., M.Si., Ak, C.A.</t>
  </si>
  <si>
    <t>Dr. Hj. Mujibah, S.E., M.M.</t>
  </si>
  <si>
    <t>Tiga juta tiga ratus tujuh puluh ribu lima ratus dua belas rupiah</t>
  </si>
  <si>
    <t>Anggota Kelompok 13 Penelitian</t>
  </si>
  <si>
    <t>Dr. Elvira Zeyn, S.E., M.Si., Ak., CA., CGAA.</t>
  </si>
  <si>
    <t>Dr. H. Sasa S. Suratman, S.E., M.Sc., Ak., C.A.</t>
  </si>
  <si>
    <t>Dr. H. Yana Rochdiana Hadiyat, S.Kom., M.Kom.</t>
  </si>
  <si>
    <t>Dr. Haris Resmawan, S.E., M.Ak., M.M.</t>
  </si>
  <si>
    <t>Acuviarta, S.E., M.E.</t>
  </si>
  <si>
    <t>Empat juta enam puluh empat ribu seratus dua belas rupiah</t>
  </si>
  <si>
    <t>Anggota Kelompok 14 Penelitian</t>
  </si>
  <si>
    <t>Dr. Ridwan, S.Pd., M.Sn., M.Ak.</t>
  </si>
  <si>
    <t>Prof. Dr. H. Atang Hermawan, S.E., M.S.I.E., Ak.</t>
  </si>
  <si>
    <t>Endra Herdiansyah, S.E., M.Ak., S.A.S.</t>
  </si>
  <si>
    <t>Tiga juta dua ratus satu ribu enam ratus enam puluh rupiah</t>
  </si>
  <si>
    <t>Anggota Hibah Dikti Penelitian</t>
  </si>
  <si>
    <t>Prof. Dr. H. Horas Djulius, S.E.</t>
  </si>
  <si>
    <t>Dr. Mulyaningrum, S.E., M.Hum.</t>
  </si>
  <si>
    <t>Dr. Dewi Yuliati Indah, S.E., M.M.</t>
  </si>
  <si>
    <t>Dua juta lima ratus delapan puluh tujuh ribu empat ratus empat rupiah</t>
  </si>
  <si>
    <t>REKAPITULASI HONORARIUM BULANAN SETARA 3 SKS PPM</t>
  </si>
  <si>
    <t>TAHUN AKADEMIK 2026/2027 - BULAN SEPTEMBER 2026 (BULAN KE-2 DARI 4)</t>
  </si>
  <si>
    <t>Tarif DLB: Atty Tri Juniarti (DLB IVc); Neni M. Santoso (DLB IIIb)</t>
  </si>
  <si>
    <t>Tarif DLB: R. Muchamad Noch (DLB IVb)</t>
  </si>
  <si>
    <t>Anggota Kelompok 1 PPM</t>
  </si>
  <si>
    <t>Tiga juta dua ratus sembilan puluh dua ribu tiga ratus enam puluh delapan rupiah</t>
  </si>
  <si>
    <t>Honor Bulanan PPM Fakultas Setara 3 SKS</t>
  </si>
  <si>
    <t>Bulan September 2026</t>
  </si>
  <si>
    <t>3.4.3</t>
  </si>
  <si>
    <t>Anggota Kelompok 2 PPM</t>
  </si>
  <si>
    <t>Tiga juta tujuh ratus empat puluh lima ribu lima ratus dua puluh empat rupiah</t>
  </si>
  <si>
    <t>Anggota Kelompok 3 PPM</t>
  </si>
  <si>
    <t>Tiga juta enam ratus dua puluh dua ribu lima ratus delapan puluh empat rupiah</t>
  </si>
  <si>
    <t>Anggota Kelompok 4 PPM</t>
  </si>
  <si>
    <t>Empat juta seribu seratus tiga puluh enam rupiah</t>
  </si>
  <si>
    <t>Anggota Kelompok 5 PPM</t>
  </si>
  <si>
    <t>Dua juta sembilan ratus sembilan puluh tiga ribu tujuh ratus enam puluh rupiah</t>
  </si>
  <si>
    <t>Anggota Kelompok 6 PPM</t>
  </si>
  <si>
    <t>Tiga juta seratus lima puluh empat ribu tiga ratus dua puluh rupiah</t>
  </si>
  <si>
    <t>Anggota Kelompok 7 PPM</t>
  </si>
  <si>
    <t>Tiga juta tiga ratus tiga puluh satu ribu empat ratus dua puluh delapan rupiah</t>
  </si>
  <si>
    <t>Anggota Kelompok 8 PPM</t>
  </si>
  <si>
    <t>Tiga juta lima ratus tiga puluh empat ribu sembilan ratus dua puluh empat rupiah</t>
  </si>
  <si>
    <t>Anggota Kelompok 9 PPM</t>
  </si>
  <si>
    <t>Tiga juta sembilan ratus lima puluh tiga ribu delapan ratus enam puluh delapan rupiah</t>
  </si>
  <si>
    <t>Anggota Kelompok 10 PPM</t>
  </si>
  <si>
    <t>Tiga juta enam ratus sembilan puluh delapan ribu tujuh ratus dua belas rupiah</t>
  </si>
  <si>
    <t>Anggota Kelompok 11 PPM</t>
  </si>
  <si>
    <t>Tiga juta delapan ratus tiga belas ribu sembilan ratus tiga puluh enam rupiah</t>
  </si>
  <si>
    <t>Anggota Kelompok 12 PPM</t>
  </si>
  <si>
    <t>Tiga juta empat ratus delapan ribu sembilan ratus dua belas rupiah</t>
  </si>
  <si>
    <t>Anggota Kelompok 13 PPM</t>
  </si>
  <si>
    <t>Tiga juta tujuh ratus tujuh belas ribu delapan puluh empat rupiah</t>
  </si>
  <si>
    <t>TAHUN AKADEMIK 2026/2027 - BULAN OKTOBER 2026 (BULAN KE-3 DARI 4)</t>
  </si>
  <si>
    <t>Termasuk koreksi honor PPM Agustus 2026 yang sudah dibayar dengan daftar lama (sheet Koreksi_Terbayar)</t>
  </si>
  <si>
    <t>Tarif DLB: Popo Suryana (DLB IVc)
Koreksi: Erry S. R. Pangestu -173.256</t>
  </si>
  <si>
    <t>Koreksi: Mohamad Razab Iryadana +88.200</t>
  </si>
  <si>
    <t>Tarif DLB: Atty Tri Juniarti (DLB IVc); Neni M. Santoso (DLB IIIb)
Koreksi: Endang Rostiana +37.788; Neni M. Santoso +50.388</t>
  </si>
  <si>
    <t>Tarif DLB: Liza Laila Nurwulan (DLB IVd); R. Muchamad Noch (DLB IVb)
Koreksi: R. Muchamad Noch +36.000</t>
  </si>
  <si>
    <t>Koreksi: Dikdik Kusdiana +173.256</t>
  </si>
  <si>
    <t>Koreksi = selisih honor PPM Agustus 2026 yang sudah dibayar dengan daftar lama; positif kurang bayar (ditambahkan), negatif lebih bayar (dipotong). Rincian: sheet Koreksi_Terbayar.</t>
  </si>
  <si>
    <t>Dua juta sembilan ratus delapan puluh satu ribu enam puluh empat rupiah</t>
  </si>
  <si>
    <t>serta koreksi honor Agustus 2026 yang sudah dibayar</t>
  </si>
  <si>
    <t>Tiga juta empat ratus sembilan belas ribu enam ratus dua puluh delapan rupiah</t>
  </si>
  <si>
    <t>Tiga juta tujuh ratus delapan puluh enam ribu delapan ratus delapan puluh delapan rupiah</t>
  </si>
  <si>
    <t>Tiga juta enam ratus enam puluh tujuh ribu dua ratus tiga puluh enam rupiah</t>
  </si>
  <si>
    <t>Tiga juta delapan ratus sembilan puluh ribu tiga ratus empat puluh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</si>
</sst>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i/>
      <sz val="9"/>
      <name val="Calibri"/>
    </font>
    <font>
      <b/>
      <u/>
      <sz val="11"/>
      <name val="Calibri"/>
    </font>
    <font>
      <sz val="9"/>
      <name val="Calibri"/>
    </font>
    <font>
      <b/>
      <u/>
      <sz val="11"/>
      <name val="Verdana"/>
    </font>
    <font>
      <sz val="10"/>
      <name val="Calibri"/>
    </font>
    <font>
      <i/>
      <sz val="11"/>
      <name val="Calibri"/>
    </font>
    <font>
      <i/>
      <sz val="8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3" fontId="0" fillId="3" borderId="1" xfId="0" applyNumberFormat="1" applyFill="1" applyBorder="1"/>
    <xf numFmtId="3" fontId="0" fillId="0" borderId="1" xfId="0" applyNumberFormat="1" applyBorder="1"/>
    <xf numFmtId="3" fontId="2" fillId="0" borderId="1" xfId="0" applyNumberFormat="1" applyFont="1" applyBorder="1"/>
    <xf numFmtId="164" fontId="0" fillId="0" borderId="1" xfId="0" applyNumberFormat="1" applyBorder="1"/>
    <xf numFmtId="3" fontId="0" fillId="0" borderId="0" xfId="0" applyNumberFormat="1"/>
    <xf numFmtId="0" fontId="10" fillId="0" borderId="0" xfId="0" applyFont="1"/>
    <xf numFmtId="3" fontId="2" fillId="0" borderId="0" xfId="0" applyNumberFormat="1" applyFont="1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5" fillId="0" borderId="0" xfId="0" applyFont="1"/>
    <xf numFmtId="0" fontId="0" fillId="0" borderId="2" xfId="0" applyBorder="1"/>
    <xf numFmtId="0" fontId="5" fillId="0" borderId="2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7" fillId="0" borderId="1" xfId="0" applyFont="1" applyBorder="1"/>
    <xf numFmtId="3" fontId="0" fillId="0" borderId="1" xfId="0" applyNumberFormat="1" applyBorder="1" applyAlignment="1">
      <alignment vertical="center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0" fillId="0" borderId="1" xfId="0" applyBorder="1" applyAlignment="1">
      <alignment vertical="center"/>
    </xf>
    <xf numFmtId="3" fontId="2" fillId="0" borderId="0" xfId="0" applyNumberFormat="1" applyFont="1" applyAlignment="1">
      <alignment horizontal="left"/>
    </xf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9"/>
  <sheetViews>
    <sheetView tabSelected="1" workbookViewId="0"/>
  </sheetViews>
  <sheetFormatPr defaultRowHeight="14.5" x14ac:dyDescent="0.35"/>
  <cols>
    <col min="1" max="1" width="24" customWidth="1"/>
    <col min="2" max="8" width="16" customWidth="1"/>
    <col min="9" max="9" width="14.453125" customWidth="1"/>
    <col min="10" max="10" width="4.08984375" customWidth="1"/>
    <col min="11" max="11" width="13" customWidth="1"/>
    <col min="12" max="12" width="3.90625" customWidth="1"/>
    <col min="13" max="13" width="16" customWidth="1"/>
  </cols>
  <sheetData>
    <row r="1" spans="1:5" ht="15.5" x14ac:dyDescent="0.35">
      <c r="A1" s="1" t="s">
        <v>0</v>
      </c>
    </row>
    <row r="2" spans="1:5" x14ac:dyDescent="0.35">
      <c r="A2" t="s">
        <v>1</v>
      </c>
    </row>
    <row r="3" spans="1:5" x14ac:dyDescent="0.35">
      <c r="A3" t="s">
        <v>2</v>
      </c>
    </row>
    <row r="5" spans="1:5" x14ac:dyDescent="0.35">
      <c r="A5" s="2" t="s">
        <v>3</v>
      </c>
    </row>
    <row r="6" spans="1:5" x14ac:dyDescent="0.3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ht="26" customHeight="1" x14ac:dyDescent="0.35">
      <c r="A7" s="4" t="s">
        <v>9</v>
      </c>
      <c r="B7" s="4" t="s">
        <v>10</v>
      </c>
      <c r="C7" s="4" t="s">
        <v>10</v>
      </c>
      <c r="D7" s="4" t="s">
        <v>11</v>
      </c>
      <c r="E7" s="4"/>
    </row>
    <row r="8" spans="1:5" x14ac:dyDescent="0.35">
      <c r="A8" s="5" t="s">
        <v>12</v>
      </c>
      <c r="B8" s="6">
        <v>2963688</v>
      </c>
      <c r="C8" s="6">
        <v>2963688</v>
      </c>
      <c r="D8" s="7">
        <f>'Penelitian Okt 2026'!K6</f>
        <v>2963688</v>
      </c>
      <c r="E8" s="8">
        <f t="shared" ref="E8:E22" si="0">SUM(B8:D8)</f>
        <v>8891064</v>
      </c>
    </row>
    <row r="9" spans="1:5" x14ac:dyDescent="0.35">
      <c r="A9" s="5" t="s">
        <v>13</v>
      </c>
      <c r="B9" s="6">
        <v>3005100</v>
      </c>
      <c r="C9" s="6">
        <v>3005100</v>
      </c>
      <c r="D9" s="7">
        <f>'Penelitian Okt 2026'!K7</f>
        <v>3005100</v>
      </c>
      <c r="E9" s="8">
        <f t="shared" si="0"/>
        <v>9015300</v>
      </c>
    </row>
    <row r="10" spans="1:5" x14ac:dyDescent="0.35">
      <c r="A10" s="5" t="s">
        <v>14</v>
      </c>
      <c r="B10" s="6">
        <v>3047388</v>
      </c>
      <c r="C10" s="6">
        <v>3047388</v>
      </c>
      <c r="D10" s="7">
        <f>'Penelitian Okt 2026'!K8</f>
        <v>3311988</v>
      </c>
      <c r="E10" s="8">
        <f t="shared" si="0"/>
        <v>9406764</v>
      </c>
    </row>
    <row r="11" spans="1:5" x14ac:dyDescent="0.35">
      <c r="A11" s="5" t="s">
        <v>15</v>
      </c>
      <c r="B11" s="6">
        <v>2694504</v>
      </c>
      <c r="C11" s="6">
        <v>2694504</v>
      </c>
      <c r="D11" s="7">
        <f>'Penelitian Okt 2026'!K9</f>
        <v>2694504</v>
      </c>
      <c r="E11" s="8">
        <f t="shared" si="0"/>
        <v>8083512</v>
      </c>
    </row>
    <row r="12" spans="1:5" x14ac:dyDescent="0.35">
      <c r="A12" s="5" t="s">
        <v>16</v>
      </c>
      <c r="B12" s="6">
        <v>3082584</v>
      </c>
      <c r="C12" s="6">
        <v>3082584</v>
      </c>
      <c r="D12" s="7">
        <f>'Penelitian Okt 2026'!K10</f>
        <v>3082584</v>
      </c>
      <c r="E12" s="8">
        <f t="shared" si="0"/>
        <v>9247752</v>
      </c>
    </row>
    <row r="13" spans="1:5" x14ac:dyDescent="0.35">
      <c r="A13" s="5" t="s">
        <v>17</v>
      </c>
      <c r="B13" s="6">
        <v>2565984</v>
      </c>
      <c r="C13" s="6">
        <v>2565984</v>
      </c>
      <c r="D13" s="7">
        <f>'Penelitian Okt 2026'!K11</f>
        <v>2565984</v>
      </c>
      <c r="E13" s="8">
        <f t="shared" si="0"/>
        <v>7697952</v>
      </c>
    </row>
    <row r="14" spans="1:5" x14ac:dyDescent="0.35">
      <c r="A14" s="5" t="s">
        <v>18</v>
      </c>
      <c r="B14" s="6">
        <v>2587944</v>
      </c>
      <c r="C14" s="6">
        <v>2587944</v>
      </c>
      <c r="D14" s="7">
        <f>'Penelitian Okt 2026'!K12</f>
        <v>2587944</v>
      </c>
      <c r="E14" s="8">
        <f t="shared" si="0"/>
        <v>7763832</v>
      </c>
    </row>
    <row r="15" spans="1:5" x14ac:dyDescent="0.35">
      <c r="A15" s="5" t="s">
        <v>19</v>
      </c>
      <c r="B15" s="6">
        <v>3250176</v>
      </c>
      <c r="C15" s="6">
        <v>3250176</v>
      </c>
      <c r="D15" s="7">
        <f>'Penelitian Okt 2026'!K13</f>
        <v>3325776</v>
      </c>
      <c r="E15" s="8">
        <f t="shared" si="0"/>
        <v>9826128</v>
      </c>
    </row>
    <row r="16" spans="1:5" x14ac:dyDescent="0.35">
      <c r="A16" s="5" t="s">
        <v>20</v>
      </c>
      <c r="B16" s="6">
        <v>3064944</v>
      </c>
      <c r="C16" s="6">
        <v>3064944</v>
      </c>
      <c r="D16" s="7">
        <f>'Penelitian Okt 2026'!K14</f>
        <v>3064944</v>
      </c>
      <c r="E16" s="8">
        <f t="shared" si="0"/>
        <v>9194832</v>
      </c>
    </row>
    <row r="17" spans="1:5" x14ac:dyDescent="0.35">
      <c r="A17" s="5" t="s">
        <v>21</v>
      </c>
      <c r="B17" s="6">
        <v>3657780</v>
      </c>
      <c r="C17" s="6">
        <v>3657780</v>
      </c>
      <c r="D17" s="7">
        <f>'Penelitian Okt 2026'!K15</f>
        <v>4054188</v>
      </c>
      <c r="E17" s="8">
        <f t="shared" si="0"/>
        <v>11369748</v>
      </c>
    </row>
    <row r="18" spans="1:5" x14ac:dyDescent="0.35">
      <c r="A18" s="5" t="s">
        <v>22</v>
      </c>
      <c r="B18" s="6">
        <v>2993844</v>
      </c>
      <c r="C18" s="6">
        <v>2993844</v>
      </c>
      <c r="D18" s="7">
        <f>'Penelitian Okt 2026'!K16</f>
        <v>2474076</v>
      </c>
      <c r="E18" s="8">
        <f t="shared" si="0"/>
        <v>8461764</v>
      </c>
    </row>
    <row r="19" spans="1:5" x14ac:dyDescent="0.35">
      <c r="A19" s="5" t="s">
        <v>23</v>
      </c>
      <c r="B19" s="6">
        <v>3553212</v>
      </c>
      <c r="C19" s="6">
        <v>3553212</v>
      </c>
      <c r="D19" s="7">
        <f>'Penelitian Okt 2026'!K17</f>
        <v>3370512</v>
      </c>
      <c r="E19" s="8">
        <f t="shared" si="0"/>
        <v>10476936</v>
      </c>
    </row>
    <row r="20" spans="1:5" x14ac:dyDescent="0.35">
      <c r="A20" s="5" t="s">
        <v>24</v>
      </c>
      <c r="B20" s="6">
        <v>4064112</v>
      </c>
      <c r="C20" s="6">
        <v>4064112</v>
      </c>
      <c r="D20" s="7">
        <f>'Penelitian Okt 2026'!K18</f>
        <v>4064112</v>
      </c>
      <c r="E20" s="8">
        <f t="shared" si="0"/>
        <v>12192336</v>
      </c>
    </row>
    <row r="21" spans="1:5" x14ac:dyDescent="0.35">
      <c r="A21" s="5" t="s">
        <v>25</v>
      </c>
      <c r="B21" s="6">
        <v>3093660</v>
      </c>
      <c r="C21" s="6">
        <v>3093660</v>
      </c>
      <c r="D21" s="7">
        <f>'Penelitian Okt 2026'!K19</f>
        <v>3201660</v>
      </c>
      <c r="E21" s="8">
        <f t="shared" si="0"/>
        <v>9388980</v>
      </c>
    </row>
    <row r="22" spans="1:5" x14ac:dyDescent="0.35">
      <c r="A22" s="5" t="s">
        <v>26</v>
      </c>
      <c r="B22" s="6">
        <v>2587404</v>
      </c>
      <c r="C22" s="6">
        <v>2587404</v>
      </c>
      <c r="D22" s="7">
        <f>'Penelitian Okt 2026'!K20</f>
        <v>2587404</v>
      </c>
      <c r="E22" s="8">
        <f t="shared" si="0"/>
        <v>7762212</v>
      </c>
    </row>
    <row r="23" spans="1:5" x14ac:dyDescent="0.35">
      <c r="A23" s="2" t="s">
        <v>27</v>
      </c>
      <c r="B23" s="8">
        <f>SUM(B8:B22)</f>
        <v>46212324</v>
      </c>
      <c r="C23" s="8">
        <f>SUM(C8:C22)</f>
        <v>46212324</v>
      </c>
      <c r="D23" s="8">
        <f>SUM(D8:D22)</f>
        <v>46354464</v>
      </c>
      <c r="E23" s="8">
        <f>SUM(E8:E22)</f>
        <v>138779112</v>
      </c>
    </row>
    <row r="24" spans="1:5" x14ac:dyDescent="0.35">
      <c r="A24" s="5" t="s">
        <v>28</v>
      </c>
      <c r="B24" s="7">
        <v>46424700</v>
      </c>
      <c r="C24" s="7">
        <v>46268556</v>
      </c>
      <c r="D24" s="7">
        <v>46085856</v>
      </c>
      <c r="E24" s="7">
        <f>SUM(B24:D24)</f>
        <v>138779112</v>
      </c>
    </row>
    <row r="25" spans="1:5" x14ac:dyDescent="0.35">
      <c r="A25" s="5" t="s">
        <v>29</v>
      </c>
      <c r="B25" s="9">
        <f>B23-B24</f>
        <v>-212376</v>
      </c>
      <c r="C25" s="9">
        <f>C23-C24</f>
        <v>-56232</v>
      </c>
      <c r="D25" s="9">
        <f>D23-D24</f>
        <v>268608</v>
      </c>
      <c r="E25" s="9">
        <f>E23-E24</f>
        <v>0</v>
      </c>
    </row>
    <row r="26" spans="1:5" x14ac:dyDescent="0.35">
      <c r="A26" t="s">
        <v>30</v>
      </c>
      <c r="E26" s="10">
        <v>138779112</v>
      </c>
    </row>
    <row r="27" spans="1:5" x14ac:dyDescent="0.35">
      <c r="A27" t="s">
        <v>31</v>
      </c>
      <c r="E27" s="2" t="str">
        <f>IF(AND(E23=E26,E24=E26),"COCOK","BEDA")</f>
        <v>COCOK</v>
      </c>
    </row>
    <row r="30" spans="1:5" x14ac:dyDescent="0.35">
      <c r="A30" s="2" t="s">
        <v>32</v>
      </c>
    </row>
    <row r="31" spans="1:5" x14ac:dyDescent="0.35">
      <c r="A31" s="3" t="s">
        <v>4</v>
      </c>
      <c r="B31" s="3" t="s">
        <v>5</v>
      </c>
      <c r="C31" s="3" t="s">
        <v>6</v>
      </c>
      <c r="D31" s="3" t="s">
        <v>7</v>
      </c>
      <c r="E31" s="3" t="s">
        <v>8</v>
      </c>
    </row>
    <row r="32" spans="1:5" ht="26" customHeight="1" x14ac:dyDescent="0.35">
      <c r="A32" s="4" t="s">
        <v>9</v>
      </c>
      <c r="B32" s="4" t="s">
        <v>10</v>
      </c>
      <c r="C32" s="4" t="s">
        <v>33</v>
      </c>
      <c r="D32" s="4" t="s">
        <v>11</v>
      </c>
      <c r="E32" s="4"/>
    </row>
    <row r="33" spans="1:5" x14ac:dyDescent="0.35">
      <c r="A33" s="5" t="s">
        <v>12</v>
      </c>
      <c r="B33" s="6">
        <v>3292368</v>
      </c>
      <c r="C33" s="7">
        <f>'PPM Sep 2026'!G6</f>
        <v>3292368</v>
      </c>
      <c r="D33" s="7">
        <f>'PPM Okt 2026'!K6</f>
        <v>3292368</v>
      </c>
      <c r="E33" s="8">
        <f t="shared" ref="E33:E45" si="1">SUM(B33:D33)</f>
        <v>9877104</v>
      </c>
    </row>
    <row r="34" spans="1:5" x14ac:dyDescent="0.35">
      <c r="A34" s="5" t="s">
        <v>13</v>
      </c>
      <c r="B34" s="6">
        <v>3745524</v>
      </c>
      <c r="C34" s="7">
        <f>'PPM Sep 2026'!G7</f>
        <v>3745524</v>
      </c>
      <c r="D34" s="7">
        <f>'PPM Okt 2026'!K7</f>
        <v>3745524</v>
      </c>
      <c r="E34" s="8">
        <f t="shared" si="1"/>
        <v>11236572</v>
      </c>
    </row>
    <row r="35" spans="1:5" x14ac:dyDescent="0.35">
      <c r="A35" s="5" t="s">
        <v>14</v>
      </c>
      <c r="B35" s="6">
        <v>3622584</v>
      </c>
      <c r="C35" s="7">
        <f>'PPM Sep 2026'!G8</f>
        <v>3622584</v>
      </c>
      <c r="D35" s="7">
        <f>'PPM Okt 2026'!K8</f>
        <v>3622584</v>
      </c>
      <c r="E35" s="8">
        <f t="shared" si="1"/>
        <v>10867752</v>
      </c>
    </row>
    <row r="36" spans="1:5" x14ac:dyDescent="0.35">
      <c r="A36" s="5" t="s">
        <v>15</v>
      </c>
      <c r="B36" s="6">
        <v>4001136</v>
      </c>
      <c r="C36" s="7">
        <f>'PPM Sep 2026'!G9</f>
        <v>4001136</v>
      </c>
      <c r="D36" s="7">
        <f>'PPM Okt 2026'!K9</f>
        <v>4001136</v>
      </c>
      <c r="E36" s="8">
        <f t="shared" si="1"/>
        <v>12003408</v>
      </c>
    </row>
    <row r="37" spans="1:5" x14ac:dyDescent="0.35">
      <c r="A37" s="5" t="s">
        <v>16</v>
      </c>
      <c r="B37" s="6">
        <v>2955960</v>
      </c>
      <c r="C37" s="7">
        <f>'PPM Sep 2026'!G10</f>
        <v>2993760</v>
      </c>
      <c r="D37" s="7">
        <f>'PPM Okt 2026'!K10</f>
        <v>2993760</v>
      </c>
      <c r="E37" s="8">
        <f t="shared" si="1"/>
        <v>8943480</v>
      </c>
    </row>
    <row r="38" spans="1:5" x14ac:dyDescent="0.35">
      <c r="A38" s="5" t="s">
        <v>17</v>
      </c>
      <c r="B38" s="6">
        <v>3327576</v>
      </c>
      <c r="C38" s="7">
        <f>'PPM Sep 2026'!G11</f>
        <v>3154320</v>
      </c>
      <c r="D38" s="7">
        <f>'PPM Okt 2026'!K11</f>
        <v>2981064</v>
      </c>
      <c r="E38" s="8">
        <f t="shared" si="1"/>
        <v>9462960</v>
      </c>
    </row>
    <row r="39" spans="1:5" x14ac:dyDescent="0.35">
      <c r="A39" s="5" t="s">
        <v>18</v>
      </c>
      <c r="B39" s="6">
        <v>3243228</v>
      </c>
      <c r="C39" s="7">
        <f>'PPM Sep 2026'!G12</f>
        <v>3331428</v>
      </c>
      <c r="D39" s="7">
        <f>'PPM Okt 2026'!K12</f>
        <v>3419628</v>
      </c>
      <c r="E39" s="8">
        <f t="shared" si="1"/>
        <v>9994284</v>
      </c>
    </row>
    <row r="40" spans="1:5" x14ac:dyDescent="0.35">
      <c r="A40" s="5" t="s">
        <v>19</v>
      </c>
      <c r="B40" s="6">
        <v>3534924</v>
      </c>
      <c r="C40" s="7">
        <f>'PPM Sep 2026'!G13</f>
        <v>3534924</v>
      </c>
      <c r="D40" s="7">
        <f>'PPM Okt 2026'!K13</f>
        <v>3534924</v>
      </c>
      <c r="E40" s="8">
        <f t="shared" si="1"/>
        <v>10604772</v>
      </c>
    </row>
    <row r="41" spans="1:5" x14ac:dyDescent="0.35">
      <c r="A41" s="5" t="s">
        <v>20</v>
      </c>
      <c r="B41" s="6">
        <v>3953868</v>
      </c>
      <c r="C41" s="7">
        <f>'PPM Sep 2026'!G14</f>
        <v>3953868</v>
      </c>
      <c r="D41" s="7">
        <f>'PPM Okt 2026'!K14</f>
        <v>3953868</v>
      </c>
      <c r="E41" s="8">
        <f t="shared" si="1"/>
        <v>11861604</v>
      </c>
    </row>
    <row r="42" spans="1:5" x14ac:dyDescent="0.35">
      <c r="A42" s="5" t="s">
        <v>21</v>
      </c>
      <c r="B42" s="6">
        <v>3804480</v>
      </c>
      <c r="C42" s="7">
        <f>'PPM Sep 2026'!G15</f>
        <v>3698712</v>
      </c>
      <c r="D42" s="7">
        <f>'PPM Okt 2026'!K15</f>
        <v>3786888</v>
      </c>
      <c r="E42" s="8">
        <f t="shared" si="1"/>
        <v>11290080</v>
      </c>
    </row>
    <row r="43" spans="1:5" x14ac:dyDescent="0.35">
      <c r="A43" s="5" t="s">
        <v>22</v>
      </c>
      <c r="B43" s="6">
        <v>3777936</v>
      </c>
      <c r="C43" s="7">
        <f>'PPM Sep 2026'!G16</f>
        <v>3813936</v>
      </c>
      <c r="D43" s="7">
        <f>'PPM Okt 2026'!K16</f>
        <v>3667236</v>
      </c>
      <c r="E43" s="8">
        <f t="shared" si="1"/>
        <v>11259108</v>
      </c>
    </row>
    <row r="44" spans="1:5" x14ac:dyDescent="0.35">
      <c r="A44" s="5" t="s">
        <v>23</v>
      </c>
      <c r="B44" s="6">
        <v>3408912</v>
      </c>
      <c r="C44" s="7">
        <f>'PPM Sep 2026'!G17</f>
        <v>3408912</v>
      </c>
      <c r="D44" s="7">
        <f>'PPM Okt 2026'!K17</f>
        <v>3408912</v>
      </c>
      <c r="E44" s="8">
        <f t="shared" si="1"/>
        <v>10226736</v>
      </c>
    </row>
    <row r="45" spans="1:5" x14ac:dyDescent="0.35">
      <c r="A45" s="5" t="s">
        <v>24</v>
      </c>
      <c r="B45" s="6">
        <v>3543828</v>
      </c>
      <c r="C45" s="7">
        <f>'PPM Sep 2026'!G18</f>
        <v>3717084</v>
      </c>
      <c r="D45" s="7">
        <f>'PPM Okt 2026'!K18</f>
        <v>3890340</v>
      </c>
      <c r="E45" s="8">
        <f t="shared" si="1"/>
        <v>11151252</v>
      </c>
    </row>
    <row r="46" spans="1:5" x14ac:dyDescent="0.35">
      <c r="A46" s="2" t="s">
        <v>27</v>
      </c>
      <c r="B46" s="8">
        <f>SUM(B33:B45)</f>
        <v>46212324</v>
      </c>
      <c r="C46" s="8">
        <f>SUM(C33:C45)</f>
        <v>46268556</v>
      </c>
      <c r="D46" s="8">
        <f>SUM(D33:D45)</f>
        <v>46298232</v>
      </c>
      <c r="E46" s="8">
        <f>SUM(E33:E45)</f>
        <v>138779112</v>
      </c>
    </row>
    <row r="47" spans="1:5" x14ac:dyDescent="0.35">
      <c r="A47" s="5" t="s">
        <v>28</v>
      </c>
      <c r="B47" s="7">
        <v>46424700</v>
      </c>
      <c r="C47" s="7">
        <v>46268556</v>
      </c>
      <c r="D47" s="7">
        <v>46085856</v>
      </c>
      <c r="E47" s="7">
        <f>SUM(B47:D47)</f>
        <v>138779112</v>
      </c>
    </row>
    <row r="48" spans="1:5" x14ac:dyDescent="0.35">
      <c r="A48" s="5" t="s">
        <v>29</v>
      </c>
      <c r="B48" s="9">
        <f>B46-B47</f>
        <v>-212376</v>
      </c>
      <c r="C48" s="9">
        <f>C46-C47</f>
        <v>0</v>
      </c>
      <c r="D48" s="9">
        <f>D46-D47</f>
        <v>212376</v>
      </c>
      <c r="E48" s="9">
        <f>E46-E47</f>
        <v>0</v>
      </c>
    </row>
    <row r="49" spans="1:5" x14ac:dyDescent="0.35">
      <c r="A49" t="s">
        <v>34</v>
      </c>
      <c r="E49" s="10">
        <v>138779112</v>
      </c>
    </row>
    <row r="50" spans="1:5" x14ac:dyDescent="0.35">
      <c r="A50" t="s">
        <v>31</v>
      </c>
      <c r="E50" s="2" t="str">
        <f>IF(AND(E46=E49,E47=E49),"COCOK","BEDA")</f>
        <v>COCOK</v>
      </c>
    </row>
    <row r="53" spans="1:5" x14ac:dyDescent="0.35">
      <c r="A53" s="2" t="s">
        <v>35</v>
      </c>
    </row>
    <row r="54" spans="1:5" x14ac:dyDescent="0.35">
      <c r="A54" s="11" t="s">
        <v>36</v>
      </c>
    </row>
    <row r="55" spans="1:5" x14ac:dyDescent="0.35">
      <c r="A55" s="11" t="s">
        <v>37</v>
      </c>
    </row>
    <row r="56" spans="1:5" x14ac:dyDescent="0.35">
      <c r="A56" s="11" t="s">
        <v>38</v>
      </c>
    </row>
    <row r="57" spans="1:5" x14ac:dyDescent="0.35">
      <c r="A57" s="11" t="s">
        <v>39</v>
      </c>
    </row>
    <row r="58" spans="1:5" x14ac:dyDescent="0.35">
      <c r="A58" s="11" t="s">
        <v>40</v>
      </c>
    </row>
    <row r="59" spans="1:5" x14ac:dyDescent="0.35">
      <c r="A59" s="11" t="s">
        <v>41</v>
      </c>
    </row>
  </sheetData>
  <pageMargins left="0.5" right="0.5" top="0.6" bottom="0.6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6"/>
  <sheetViews>
    <sheetView workbookViewId="0"/>
  </sheetViews>
  <sheetFormatPr defaultRowHeight="14.5" x14ac:dyDescent="0.35"/>
  <cols>
    <col min="1" max="1" width="5" customWidth="1"/>
    <col min="2" max="2" width="44" customWidth="1"/>
    <col min="3" max="3" width="9" customWidth="1"/>
    <col min="4" max="4" width="11" customWidth="1"/>
    <col min="5" max="5" width="16" customWidth="1"/>
    <col min="6" max="7" width="12" customWidth="1"/>
    <col min="8" max="8" width="13" customWidth="1"/>
    <col min="9" max="9" width="12" customWidth="1"/>
    <col min="10" max="10" width="13" customWidth="1"/>
    <col min="11" max="11" width="62" customWidth="1"/>
    <col min="12" max="12" width="3.90625" customWidth="1"/>
    <col min="13" max="13" width="16" customWidth="1"/>
  </cols>
  <sheetData>
    <row r="1" spans="1:11" ht="15.5" x14ac:dyDescent="0.35">
      <c r="A1" s="1" t="s">
        <v>42</v>
      </c>
    </row>
    <row r="2" spans="1:11" x14ac:dyDescent="0.35">
      <c r="A2" t="s">
        <v>43</v>
      </c>
    </row>
    <row r="3" spans="1:11" x14ac:dyDescent="0.35">
      <c r="A3" t="s">
        <v>44</v>
      </c>
    </row>
    <row r="5" spans="1:11" ht="29" x14ac:dyDescent="0.35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4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spans="1:11" x14ac:dyDescent="0.35">
      <c r="A6" s="5">
        <v>1</v>
      </c>
      <c r="B6" s="5" t="s">
        <v>55</v>
      </c>
      <c r="C6" s="5" t="s">
        <v>56</v>
      </c>
      <c r="D6" s="5" t="s">
        <v>57</v>
      </c>
      <c r="E6" s="5" t="s">
        <v>5</v>
      </c>
      <c r="F6" s="5" t="s">
        <v>17</v>
      </c>
      <c r="G6" s="7">
        <v>78225</v>
      </c>
      <c r="H6" s="7">
        <v>63787</v>
      </c>
      <c r="I6" s="9">
        <f t="shared" ref="I6:I24" si="0">H6-G6</f>
        <v>-14438</v>
      </c>
      <c r="J6" s="9">
        <f t="shared" ref="J6:J24" si="1">I6*3*4</f>
        <v>-173256</v>
      </c>
      <c r="K6" s="5" t="s">
        <v>58</v>
      </c>
    </row>
    <row r="7" spans="1:11" x14ac:dyDescent="0.35">
      <c r="A7" s="5">
        <v>2</v>
      </c>
      <c r="B7" s="5" t="s">
        <v>59</v>
      </c>
      <c r="C7" s="5" t="s">
        <v>60</v>
      </c>
      <c r="D7" s="5" t="s">
        <v>57</v>
      </c>
      <c r="E7" s="5" t="s">
        <v>5</v>
      </c>
      <c r="F7" s="5" t="s">
        <v>18</v>
      </c>
      <c r="G7" s="7">
        <v>53812</v>
      </c>
      <c r="H7" s="7">
        <v>61162</v>
      </c>
      <c r="I7" s="9">
        <f t="shared" si="0"/>
        <v>7350</v>
      </c>
      <c r="J7" s="9">
        <f t="shared" si="1"/>
        <v>88200</v>
      </c>
      <c r="K7" s="5" t="s">
        <v>61</v>
      </c>
    </row>
    <row r="8" spans="1:11" x14ac:dyDescent="0.35">
      <c r="A8" s="5">
        <v>3</v>
      </c>
      <c r="B8" s="5" t="s">
        <v>62</v>
      </c>
      <c r="C8" s="5" t="s">
        <v>63</v>
      </c>
      <c r="D8" s="5" t="s">
        <v>57</v>
      </c>
      <c r="E8" s="5" t="s">
        <v>5</v>
      </c>
      <c r="F8" s="5" t="s">
        <v>21</v>
      </c>
      <c r="G8" s="7">
        <v>71138</v>
      </c>
      <c r="H8" s="7">
        <v>74287</v>
      </c>
      <c r="I8" s="9">
        <f t="shared" si="0"/>
        <v>3149</v>
      </c>
      <c r="J8" s="9">
        <f t="shared" si="1"/>
        <v>37788</v>
      </c>
      <c r="K8" s="5" t="s">
        <v>64</v>
      </c>
    </row>
    <row r="9" spans="1:11" x14ac:dyDescent="0.35">
      <c r="A9" s="5">
        <v>4</v>
      </c>
      <c r="B9" s="5" t="s">
        <v>65</v>
      </c>
      <c r="C9" s="5" t="s">
        <v>66</v>
      </c>
      <c r="D9" s="5" t="s">
        <v>57</v>
      </c>
      <c r="E9" s="5" t="s">
        <v>5</v>
      </c>
      <c r="F9" s="5" t="s">
        <v>21</v>
      </c>
      <c r="G9" s="7">
        <v>56963</v>
      </c>
      <c r="H9" s="7">
        <v>61162</v>
      </c>
      <c r="I9" s="9">
        <f t="shared" si="0"/>
        <v>4199</v>
      </c>
      <c r="J9" s="9">
        <f t="shared" si="1"/>
        <v>50388</v>
      </c>
      <c r="K9" s="5" t="s">
        <v>67</v>
      </c>
    </row>
    <row r="10" spans="1:11" x14ac:dyDescent="0.35">
      <c r="A10" s="5">
        <v>5</v>
      </c>
      <c r="B10" s="5" t="s">
        <v>68</v>
      </c>
      <c r="C10" s="5" t="s">
        <v>69</v>
      </c>
      <c r="D10" s="5" t="s">
        <v>57</v>
      </c>
      <c r="E10" s="5" t="s">
        <v>5</v>
      </c>
      <c r="F10" s="5" t="s">
        <v>22</v>
      </c>
      <c r="G10" s="7">
        <v>54000</v>
      </c>
      <c r="H10" s="7">
        <v>57000</v>
      </c>
      <c r="I10" s="9">
        <f t="shared" si="0"/>
        <v>3000</v>
      </c>
      <c r="J10" s="9">
        <f t="shared" si="1"/>
        <v>36000</v>
      </c>
      <c r="K10" s="5" t="s">
        <v>70</v>
      </c>
    </row>
    <row r="11" spans="1:11" x14ac:dyDescent="0.35">
      <c r="A11" s="5">
        <v>6</v>
      </c>
      <c r="B11" s="5" t="s">
        <v>71</v>
      </c>
      <c r="C11" s="5" t="s">
        <v>72</v>
      </c>
      <c r="D11" s="5" t="s">
        <v>57</v>
      </c>
      <c r="E11" s="5" t="s">
        <v>5</v>
      </c>
      <c r="F11" s="5" t="s">
        <v>24</v>
      </c>
      <c r="G11" s="7">
        <v>63787</v>
      </c>
      <c r="H11" s="7">
        <v>78225</v>
      </c>
      <c r="I11" s="9">
        <f t="shared" si="0"/>
        <v>14438</v>
      </c>
      <c r="J11" s="9">
        <f t="shared" si="1"/>
        <v>173256</v>
      </c>
      <c r="K11" s="5" t="s">
        <v>73</v>
      </c>
    </row>
    <row r="12" spans="1:11" x14ac:dyDescent="0.35">
      <c r="A12" s="5">
        <v>7</v>
      </c>
      <c r="B12" s="5" t="s">
        <v>59</v>
      </c>
      <c r="C12" s="5" t="s">
        <v>60</v>
      </c>
      <c r="D12" s="5" t="s">
        <v>74</v>
      </c>
      <c r="E12" s="5" t="s">
        <v>5</v>
      </c>
      <c r="F12" s="5" t="s">
        <v>14</v>
      </c>
      <c r="G12" s="7">
        <v>53812</v>
      </c>
      <c r="H12" s="7">
        <v>61162</v>
      </c>
      <c r="I12" s="9">
        <f t="shared" si="0"/>
        <v>7350</v>
      </c>
      <c r="J12" s="9">
        <f t="shared" si="1"/>
        <v>88200</v>
      </c>
      <c r="K12" s="5" t="s">
        <v>61</v>
      </c>
    </row>
    <row r="13" spans="1:11" x14ac:dyDescent="0.35">
      <c r="A13" s="5">
        <v>8</v>
      </c>
      <c r="B13" s="5" t="s">
        <v>62</v>
      </c>
      <c r="C13" s="5" t="s">
        <v>63</v>
      </c>
      <c r="D13" s="5" t="s">
        <v>74</v>
      </c>
      <c r="E13" s="5" t="s">
        <v>5</v>
      </c>
      <c r="F13" s="5" t="s">
        <v>21</v>
      </c>
      <c r="G13" s="7">
        <v>71138</v>
      </c>
      <c r="H13" s="7">
        <v>74287</v>
      </c>
      <c r="I13" s="9">
        <f t="shared" si="0"/>
        <v>3149</v>
      </c>
      <c r="J13" s="9">
        <f t="shared" si="1"/>
        <v>37788</v>
      </c>
      <c r="K13" s="5" t="s">
        <v>64</v>
      </c>
    </row>
    <row r="14" spans="1:11" x14ac:dyDescent="0.35">
      <c r="A14" s="5">
        <v>9</v>
      </c>
      <c r="B14" s="5" t="s">
        <v>65</v>
      </c>
      <c r="C14" s="5" t="s">
        <v>66</v>
      </c>
      <c r="D14" s="5" t="s">
        <v>74</v>
      </c>
      <c r="E14" s="5" t="s">
        <v>5</v>
      </c>
      <c r="F14" s="5" t="s">
        <v>21</v>
      </c>
      <c r="G14" s="7">
        <v>56963</v>
      </c>
      <c r="H14" s="7">
        <v>61162</v>
      </c>
      <c r="I14" s="9">
        <f t="shared" si="0"/>
        <v>4199</v>
      </c>
      <c r="J14" s="9">
        <f t="shared" si="1"/>
        <v>50388</v>
      </c>
      <c r="K14" s="5" t="s">
        <v>67</v>
      </c>
    </row>
    <row r="15" spans="1:11" x14ac:dyDescent="0.35">
      <c r="A15" s="5">
        <v>10</v>
      </c>
      <c r="B15" s="5" t="s">
        <v>71</v>
      </c>
      <c r="C15" s="5" t="s">
        <v>72</v>
      </c>
      <c r="D15" s="5" t="s">
        <v>74</v>
      </c>
      <c r="E15" s="5" t="s">
        <v>5</v>
      </c>
      <c r="F15" s="5" t="s">
        <v>21</v>
      </c>
      <c r="G15" s="7">
        <v>63787</v>
      </c>
      <c r="H15" s="7">
        <v>78225</v>
      </c>
      <c r="I15" s="9">
        <f t="shared" si="0"/>
        <v>14438</v>
      </c>
      <c r="J15" s="9">
        <f t="shared" si="1"/>
        <v>173256</v>
      </c>
      <c r="K15" s="5" t="s">
        <v>73</v>
      </c>
    </row>
    <row r="16" spans="1:11" x14ac:dyDescent="0.35">
      <c r="A16" s="5">
        <v>11</v>
      </c>
      <c r="B16" s="5" t="s">
        <v>55</v>
      </c>
      <c r="C16" s="5" t="s">
        <v>56</v>
      </c>
      <c r="D16" s="5" t="s">
        <v>74</v>
      </c>
      <c r="E16" s="5" t="s">
        <v>5</v>
      </c>
      <c r="F16" s="5" t="s">
        <v>22</v>
      </c>
      <c r="G16" s="7">
        <v>78225</v>
      </c>
      <c r="H16" s="7">
        <v>63787</v>
      </c>
      <c r="I16" s="9">
        <f t="shared" si="0"/>
        <v>-14438</v>
      </c>
      <c r="J16" s="9">
        <f t="shared" si="1"/>
        <v>-173256</v>
      </c>
      <c r="K16" s="5" t="s">
        <v>58</v>
      </c>
    </row>
    <row r="17" spans="1:11" x14ac:dyDescent="0.35">
      <c r="A17" s="5">
        <v>12</v>
      </c>
      <c r="B17" s="5" t="s">
        <v>68</v>
      </c>
      <c r="C17" s="5" t="s">
        <v>69</v>
      </c>
      <c r="D17" s="5" t="s">
        <v>74</v>
      </c>
      <c r="E17" s="5" t="s">
        <v>5</v>
      </c>
      <c r="F17" s="5" t="s">
        <v>25</v>
      </c>
      <c r="G17" s="7">
        <v>54000</v>
      </c>
      <c r="H17" s="7">
        <v>57000</v>
      </c>
      <c r="I17" s="9">
        <f t="shared" si="0"/>
        <v>3000</v>
      </c>
      <c r="J17" s="9">
        <f t="shared" si="1"/>
        <v>36000</v>
      </c>
      <c r="K17" s="5" t="s">
        <v>70</v>
      </c>
    </row>
    <row r="18" spans="1:11" x14ac:dyDescent="0.35">
      <c r="A18" s="5">
        <v>13</v>
      </c>
      <c r="B18" s="5" t="s">
        <v>59</v>
      </c>
      <c r="C18" s="5" t="s">
        <v>60</v>
      </c>
      <c r="D18" s="5" t="s">
        <v>74</v>
      </c>
      <c r="E18" s="5" t="s">
        <v>6</v>
      </c>
      <c r="F18" s="5" t="s">
        <v>14</v>
      </c>
      <c r="G18" s="7">
        <v>53812</v>
      </c>
      <c r="H18" s="7">
        <v>61162</v>
      </c>
      <c r="I18" s="9">
        <f t="shared" si="0"/>
        <v>7350</v>
      </c>
      <c r="J18" s="9">
        <f t="shared" si="1"/>
        <v>88200</v>
      </c>
      <c r="K18" s="5" t="s">
        <v>61</v>
      </c>
    </row>
    <row r="19" spans="1:11" x14ac:dyDescent="0.35">
      <c r="A19" s="5">
        <v>14</v>
      </c>
      <c r="B19" s="5" t="s">
        <v>75</v>
      </c>
      <c r="C19" s="5" t="s">
        <v>76</v>
      </c>
      <c r="D19" s="5" t="s">
        <v>74</v>
      </c>
      <c r="E19" s="5" t="s">
        <v>6</v>
      </c>
      <c r="F19" s="5" t="s">
        <v>19</v>
      </c>
      <c r="G19" s="7">
        <v>61268</v>
      </c>
      <c r="H19" s="7">
        <v>64418</v>
      </c>
      <c r="I19" s="9">
        <f t="shared" si="0"/>
        <v>3150</v>
      </c>
      <c r="J19" s="9">
        <f t="shared" si="1"/>
        <v>37800</v>
      </c>
      <c r="K19" s="5" t="s">
        <v>77</v>
      </c>
    </row>
    <row r="20" spans="1:11" x14ac:dyDescent="0.35">
      <c r="A20" s="5">
        <v>15</v>
      </c>
      <c r="B20" s="5" t="s">
        <v>62</v>
      </c>
      <c r="C20" s="5" t="s">
        <v>63</v>
      </c>
      <c r="D20" s="5" t="s">
        <v>74</v>
      </c>
      <c r="E20" s="5" t="s">
        <v>6</v>
      </c>
      <c r="F20" s="5" t="s">
        <v>21</v>
      </c>
      <c r="G20" s="7">
        <v>71138</v>
      </c>
      <c r="H20" s="7">
        <v>74287</v>
      </c>
      <c r="I20" s="9">
        <f t="shared" si="0"/>
        <v>3149</v>
      </c>
      <c r="J20" s="9">
        <f t="shared" si="1"/>
        <v>37788</v>
      </c>
      <c r="K20" s="5" t="s">
        <v>64</v>
      </c>
    </row>
    <row r="21" spans="1:11" x14ac:dyDescent="0.35">
      <c r="A21" s="5">
        <v>16</v>
      </c>
      <c r="B21" s="5" t="s">
        <v>65</v>
      </c>
      <c r="C21" s="5" t="s">
        <v>66</v>
      </c>
      <c r="D21" s="5" t="s">
        <v>74</v>
      </c>
      <c r="E21" s="5" t="s">
        <v>6</v>
      </c>
      <c r="F21" s="5" t="s">
        <v>21</v>
      </c>
      <c r="G21" s="7">
        <v>56963</v>
      </c>
      <c r="H21" s="7">
        <v>45000</v>
      </c>
      <c r="I21" s="9">
        <f t="shared" si="0"/>
        <v>-11963</v>
      </c>
      <c r="J21" s="9">
        <f t="shared" si="1"/>
        <v>-143556</v>
      </c>
      <c r="K21" s="5" t="s">
        <v>67</v>
      </c>
    </row>
    <row r="22" spans="1:11" x14ac:dyDescent="0.35">
      <c r="A22" s="5">
        <v>17</v>
      </c>
      <c r="B22" s="5" t="s">
        <v>71</v>
      </c>
      <c r="C22" s="5" t="s">
        <v>72</v>
      </c>
      <c r="D22" s="5" t="s">
        <v>74</v>
      </c>
      <c r="E22" s="5" t="s">
        <v>6</v>
      </c>
      <c r="F22" s="5" t="s">
        <v>21</v>
      </c>
      <c r="G22" s="7">
        <v>63787</v>
      </c>
      <c r="H22" s="7">
        <v>78225</v>
      </c>
      <c r="I22" s="9">
        <f t="shared" si="0"/>
        <v>14438</v>
      </c>
      <c r="J22" s="9">
        <f t="shared" si="1"/>
        <v>173256</v>
      </c>
      <c r="K22" s="5" t="s">
        <v>73</v>
      </c>
    </row>
    <row r="23" spans="1:11" x14ac:dyDescent="0.35">
      <c r="A23" s="5">
        <v>18</v>
      </c>
      <c r="B23" s="5" t="s">
        <v>55</v>
      </c>
      <c r="C23" s="5" t="s">
        <v>56</v>
      </c>
      <c r="D23" s="5" t="s">
        <v>74</v>
      </c>
      <c r="E23" s="5" t="s">
        <v>6</v>
      </c>
      <c r="F23" s="5" t="s">
        <v>22</v>
      </c>
      <c r="G23" s="7">
        <v>78225</v>
      </c>
      <c r="H23" s="7">
        <v>63787</v>
      </c>
      <c r="I23" s="9">
        <f t="shared" si="0"/>
        <v>-14438</v>
      </c>
      <c r="J23" s="9">
        <f t="shared" si="1"/>
        <v>-173256</v>
      </c>
      <c r="K23" s="5" t="s">
        <v>58</v>
      </c>
    </row>
    <row r="24" spans="1:11" x14ac:dyDescent="0.35">
      <c r="A24" s="5">
        <v>19</v>
      </c>
      <c r="B24" s="5" t="s">
        <v>68</v>
      </c>
      <c r="C24" s="5" t="s">
        <v>69</v>
      </c>
      <c r="D24" s="5" t="s">
        <v>74</v>
      </c>
      <c r="E24" s="5" t="s">
        <v>6</v>
      </c>
      <c r="F24" s="5" t="s">
        <v>25</v>
      </c>
      <c r="G24" s="7">
        <v>54000</v>
      </c>
      <c r="H24" s="7">
        <v>57000</v>
      </c>
      <c r="I24" s="9">
        <f t="shared" si="0"/>
        <v>3000</v>
      </c>
      <c r="J24" s="9">
        <f t="shared" si="1"/>
        <v>36000</v>
      </c>
      <c r="K24" s="5" t="s">
        <v>70</v>
      </c>
    </row>
    <row r="25" spans="1:11" x14ac:dyDescent="0.35">
      <c r="B25" s="2" t="s">
        <v>78</v>
      </c>
      <c r="J25" s="12">
        <f>SUM(J6:J24)</f>
        <v>480984</v>
      </c>
    </row>
    <row r="27" spans="1:11" x14ac:dyDescent="0.35">
      <c r="B27" s="2" t="s">
        <v>79</v>
      </c>
    </row>
    <row r="28" spans="1:11" ht="30" customHeight="1" x14ac:dyDescent="0.35">
      <c r="B28" s="3" t="s">
        <v>46</v>
      </c>
      <c r="C28" s="3" t="s">
        <v>47</v>
      </c>
      <c r="D28" s="3" t="s">
        <v>80</v>
      </c>
      <c r="E28" s="3" t="s">
        <v>81</v>
      </c>
      <c r="F28" s="3" t="s">
        <v>82</v>
      </c>
      <c r="G28" s="3" t="s">
        <v>83</v>
      </c>
      <c r="H28" s="3" t="s">
        <v>8</v>
      </c>
      <c r="I28" s="26" t="s">
        <v>84</v>
      </c>
      <c r="J28" s="24"/>
      <c r="K28" s="25"/>
    </row>
    <row r="29" spans="1:11" x14ac:dyDescent="0.35">
      <c r="B29" s="5" t="s">
        <v>71</v>
      </c>
      <c r="C29" s="5" t="s">
        <v>72</v>
      </c>
      <c r="D29" s="5" t="s">
        <v>21</v>
      </c>
      <c r="E29" s="5" t="s">
        <v>24</v>
      </c>
      <c r="F29" s="9">
        <f t="shared" ref="F29:F35" si="2">SUMIFS($J$6:$J$24,$C$6:$C$24,C29,$D$6:$D$24,"Penelitian")</f>
        <v>346512</v>
      </c>
      <c r="G29" s="9">
        <f t="shared" ref="G29:G35" si="3">SUMIFS($J$6:$J$24,$C$6:$C$24,C29,$D$6:$D$24,"PPM")</f>
        <v>173256</v>
      </c>
      <c r="H29" s="9">
        <f t="shared" ref="H29:H35" si="4">F29+G29</f>
        <v>519768</v>
      </c>
      <c r="I29" s="23" t="s">
        <v>85</v>
      </c>
      <c r="J29" s="24"/>
      <c r="K29" s="25"/>
    </row>
    <row r="30" spans="1:11" x14ac:dyDescent="0.35">
      <c r="B30" s="5" t="s">
        <v>59</v>
      </c>
      <c r="C30" s="5" t="s">
        <v>60</v>
      </c>
      <c r="D30" s="5" t="s">
        <v>14</v>
      </c>
      <c r="E30" s="5" t="s">
        <v>18</v>
      </c>
      <c r="F30" s="9">
        <f t="shared" si="2"/>
        <v>176400</v>
      </c>
      <c r="G30" s="9">
        <f t="shared" si="3"/>
        <v>88200</v>
      </c>
      <c r="H30" s="9">
        <f t="shared" si="4"/>
        <v>264600</v>
      </c>
      <c r="I30" s="23" t="s">
        <v>86</v>
      </c>
      <c r="J30" s="24"/>
      <c r="K30" s="25"/>
    </row>
    <row r="31" spans="1:11" x14ac:dyDescent="0.35">
      <c r="B31" s="5" t="s">
        <v>62</v>
      </c>
      <c r="C31" s="5" t="s">
        <v>63</v>
      </c>
      <c r="D31" s="5" t="s">
        <v>21</v>
      </c>
      <c r="E31" s="5" t="s">
        <v>21</v>
      </c>
      <c r="F31" s="9">
        <f t="shared" si="2"/>
        <v>75576</v>
      </c>
      <c r="G31" s="9">
        <f t="shared" si="3"/>
        <v>37788</v>
      </c>
      <c r="H31" s="9">
        <f t="shared" si="4"/>
        <v>113364</v>
      </c>
      <c r="I31" s="23" t="s">
        <v>87</v>
      </c>
      <c r="J31" s="24"/>
      <c r="K31" s="25"/>
    </row>
    <row r="32" spans="1:11" x14ac:dyDescent="0.35">
      <c r="B32" s="5" t="s">
        <v>68</v>
      </c>
      <c r="C32" s="5" t="s">
        <v>69</v>
      </c>
      <c r="D32" s="5" t="s">
        <v>25</v>
      </c>
      <c r="E32" s="5" t="s">
        <v>22</v>
      </c>
      <c r="F32" s="9">
        <f t="shared" si="2"/>
        <v>72000</v>
      </c>
      <c r="G32" s="9">
        <f t="shared" si="3"/>
        <v>36000</v>
      </c>
      <c r="H32" s="9">
        <f t="shared" si="4"/>
        <v>108000</v>
      </c>
      <c r="I32" s="23" t="s">
        <v>88</v>
      </c>
      <c r="J32" s="24"/>
      <c r="K32" s="25"/>
    </row>
    <row r="33" spans="2:11" x14ac:dyDescent="0.35">
      <c r="B33" s="5" t="s">
        <v>75</v>
      </c>
      <c r="C33" s="5" t="s">
        <v>76</v>
      </c>
      <c r="D33" s="5" t="s">
        <v>19</v>
      </c>
      <c r="E33" s="5" t="s">
        <v>16</v>
      </c>
      <c r="F33" s="9">
        <f t="shared" si="2"/>
        <v>37800</v>
      </c>
      <c r="G33" s="9">
        <f t="shared" si="3"/>
        <v>0</v>
      </c>
      <c r="H33" s="9">
        <f t="shared" si="4"/>
        <v>37800</v>
      </c>
      <c r="I33" s="23" t="s">
        <v>89</v>
      </c>
      <c r="J33" s="24"/>
      <c r="K33" s="25"/>
    </row>
    <row r="34" spans="2:11" x14ac:dyDescent="0.35">
      <c r="B34" s="5" t="s">
        <v>65</v>
      </c>
      <c r="C34" s="5" t="s">
        <v>66</v>
      </c>
      <c r="D34" s="5" t="s">
        <v>21</v>
      </c>
      <c r="E34" s="5" t="s">
        <v>21</v>
      </c>
      <c r="F34" s="9">
        <f t="shared" si="2"/>
        <v>-93168</v>
      </c>
      <c r="G34" s="9">
        <f t="shared" si="3"/>
        <v>50388</v>
      </c>
      <c r="H34" s="9">
        <f t="shared" si="4"/>
        <v>-42780</v>
      </c>
      <c r="I34" s="23" t="s">
        <v>90</v>
      </c>
      <c r="J34" s="24"/>
      <c r="K34" s="25"/>
    </row>
    <row r="35" spans="2:11" x14ac:dyDescent="0.35">
      <c r="B35" s="5" t="s">
        <v>55</v>
      </c>
      <c r="C35" s="5" t="s">
        <v>56</v>
      </c>
      <c r="D35" s="5" t="s">
        <v>22</v>
      </c>
      <c r="E35" s="5" t="s">
        <v>17</v>
      </c>
      <c r="F35" s="9">
        <f t="shared" si="2"/>
        <v>-346512</v>
      </c>
      <c r="G35" s="9">
        <f t="shared" si="3"/>
        <v>-173256</v>
      </c>
      <c r="H35" s="9">
        <f t="shared" si="4"/>
        <v>-519768</v>
      </c>
      <c r="I35" s="23" t="s">
        <v>91</v>
      </c>
      <c r="J35" s="24"/>
      <c r="K35" s="25"/>
    </row>
    <row r="36" spans="2:11" x14ac:dyDescent="0.35">
      <c r="B36" s="2" t="s">
        <v>78</v>
      </c>
      <c r="F36" s="8">
        <f>SUM(F29:F35)</f>
        <v>268608</v>
      </c>
      <c r="G36" s="8">
        <f>SUM(G29:G35)</f>
        <v>212376</v>
      </c>
      <c r="H36" s="8">
        <f>SUM(H29:H35)</f>
        <v>480984</v>
      </c>
    </row>
  </sheetData>
  <mergeCells count="8">
    <mergeCell ref="I35:K35"/>
    <mergeCell ref="I30:K30"/>
    <mergeCell ref="I29:K29"/>
    <mergeCell ref="I33:K33"/>
    <mergeCell ref="I32:K32"/>
    <mergeCell ref="I28:K28"/>
    <mergeCell ref="I31:K31"/>
    <mergeCell ref="I34:K34"/>
  </mergeCells>
  <pageMargins left="0.5" right="0.5" top="0.6" bottom="0.6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45"/>
  <sheetViews>
    <sheetView workbookViewId="0"/>
  </sheetViews>
  <sheetFormatPr defaultRowHeight="14.5" x14ac:dyDescent="0.35"/>
  <cols>
    <col min="1" max="1" width="6.90625" customWidth="1"/>
    <col min="2" max="2" width="11.26953125" customWidth="1"/>
    <col min="3" max="3" width="3.7265625" customWidth="1"/>
    <col min="4" max="4" width="9.08984375" customWidth="1"/>
    <col min="5" max="5" width="13.6328125" customWidth="1"/>
    <col min="6" max="6" width="8" customWidth="1"/>
    <col min="7" max="7" width="5.1796875" customWidth="1"/>
    <col min="8" max="8" width="10" customWidth="1"/>
    <col min="9" max="10" width="12" customWidth="1"/>
    <col min="11" max="11" width="13" customWidth="1"/>
    <col min="12" max="12" width="4.08984375" customWidth="1"/>
    <col min="13" max="13" width="11.453125" customWidth="1"/>
    <col min="14" max="14" width="3.90625" customWidth="1"/>
    <col min="15" max="15" width="13.453125" customWidth="1"/>
  </cols>
  <sheetData>
    <row r="1" spans="1:15" x14ac:dyDescent="0.35">
      <c r="A1" s="42" t="s">
        <v>92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5">
      <c r="A2" s="33" t="s">
        <v>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x14ac:dyDescent="0.35">
      <c r="A3" s="33" t="s">
        <v>94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35">
      <c r="A4" s="44" t="s">
        <v>95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30" customHeight="1" x14ac:dyDescent="0.35">
      <c r="A5" s="3" t="s">
        <v>96</v>
      </c>
      <c r="B5" s="26" t="s">
        <v>4</v>
      </c>
      <c r="C5" s="23"/>
      <c r="D5" s="23"/>
      <c r="E5" s="23"/>
      <c r="F5" s="3" t="s">
        <v>97</v>
      </c>
      <c r="G5" s="26" t="s">
        <v>98</v>
      </c>
      <c r="H5" s="23"/>
      <c r="I5" s="23"/>
      <c r="J5" s="3" t="s">
        <v>99</v>
      </c>
      <c r="K5" s="3" t="s">
        <v>100</v>
      </c>
      <c r="L5" s="26" t="s">
        <v>54</v>
      </c>
      <c r="M5" s="23"/>
      <c r="N5" s="23"/>
      <c r="O5" s="23"/>
    </row>
    <row r="6" spans="1:15" ht="15" customHeight="1" x14ac:dyDescent="0.35">
      <c r="A6" s="13">
        <v>1</v>
      </c>
      <c r="B6" s="39" t="s">
        <v>12</v>
      </c>
      <c r="C6" s="23"/>
      <c r="D6" s="23"/>
      <c r="E6" s="23"/>
      <c r="F6" s="13">
        <v>4</v>
      </c>
      <c r="G6" s="30">
        <f>SUM(I49:I52)</f>
        <v>2963688</v>
      </c>
      <c r="H6" s="23"/>
      <c r="I6" s="23"/>
      <c r="J6" s="15">
        <f>SUM(J49:J52)</f>
        <v>0</v>
      </c>
      <c r="K6" s="14">
        <f>D54</f>
        <v>2963688</v>
      </c>
      <c r="L6" s="34"/>
      <c r="M6" s="23"/>
      <c r="N6" s="23"/>
      <c r="O6" s="23"/>
    </row>
    <row r="7" spans="1:15" ht="15" customHeight="1" x14ac:dyDescent="0.35">
      <c r="A7" s="13">
        <v>2</v>
      </c>
      <c r="B7" s="39" t="s">
        <v>13</v>
      </c>
      <c r="C7" s="23"/>
      <c r="D7" s="23"/>
      <c r="E7" s="23"/>
      <c r="F7" s="13">
        <v>4</v>
      </c>
      <c r="G7" s="30">
        <f>SUM(I83:I86)</f>
        <v>3005100</v>
      </c>
      <c r="H7" s="23"/>
      <c r="I7" s="23"/>
      <c r="J7" s="15">
        <f>SUM(J83:J86)</f>
        <v>0</v>
      </c>
      <c r="K7" s="14">
        <f>D88</f>
        <v>3005100</v>
      </c>
      <c r="L7" s="34" t="s">
        <v>101</v>
      </c>
      <c r="M7" s="23"/>
      <c r="N7" s="23"/>
      <c r="O7" s="23"/>
    </row>
    <row r="8" spans="1:15" ht="15" customHeight="1" x14ac:dyDescent="0.35">
      <c r="A8" s="13">
        <v>3</v>
      </c>
      <c r="B8" s="39" t="s">
        <v>14</v>
      </c>
      <c r="C8" s="23"/>
      <c r="D8" s="23"/>
      <c r="E8" s="23"/>
      <c r="F8" s="13">
        <v>4</v>
      </c>
      <c r="G8" s="30">
        <f>SUM(I117:I120)</f>
        <v>3135588</v>
      </c>
      <c r="H8" s="23"/>
      <c r="I8" s="23"/>
      <c r="J8" s="15">
        <f>SUM(J117:J120)</f>
        <v>176400</v>
      </c>
      <c r="K8" s="14">
        <f>D122</f>
        <v>3311988</v>
      </c>
      <c r="L8" s="34" t="s">
        <v>102</v>
      </c>
      <c r="M8" s="23"/>
      <c r="N8" s="23"/>
      <c r="O8" s="23"/>
    </row>
    <row r="9" spans="1:15" ht="15" customHeight="1" x14ac:dyDescent="0.35">
      <c r="A9" s="13">
        <v>4</v>
      </c>
      <c r="B9" s="39" t="s">
        <v>15</v>
      </c>
      <c r="C9" s="23"/>
      <c r="D9" s="23"/>
      <c r="E9" s="23"/>
      <c r="F9" s="13">
        <v>4</v>
      </c>
      <c r="G9" s="30">
        <f>SUM(I151:I154)</f>
        <v>2694504</v>
      </c>
      <c r="H9" s="23"/>
      <c r="I9" s="23"/>
      <c r="J9" s="15">
        <f>SUM(J151:J154)</f>
        <v>0</v>
      </c>
      <c r="K9" s="14">
        <f>D156</f>
        <v>2694504</v>
      </c>
      <c r="L9" s="34"/>
      <c r="M9" s="23"/>
      <c r="N9" s="23"/>
      <c r="O9" s="23"/>
    </row>
    <row r="10" spans="1:15" ht="15" customHeight="1" x14ac:dyDescent="0.35">
      <c r="A10" s="13">
        <v>5</v>
      </c>
      <c r="B10" s="39" t="s">
        <v>16</v>
      </c>
      <c r="C10" s="23"/>
      <c r="D10" s="23"/>
      <c r="E10" s="23"/>
      <c r="F10" s="13">
        <v>4</v>
      </c>
      <c r="G10" s="30">
        <f>SUM(I185:I188)</f>
        <v>3082584</v>
      </c>
      <c r="H10" s="23"/>
      <c r="I10" s="23"/>
      <c r="J10" s="15">
        <f>SUM(J185:J188)</f>
        <v>0</v>
      </c>
      <c r="K10" s="14">
        <f>D190</f>
        <v>3082584</v>
      </c>
      <c r="L10" s="34"/>
      <c r="M10" s="23"/>
      <c r="N10" s="23"/>
      <c r="O10" s="23"/>
    </row>
    <row r="11" spans="1:15" ht="15" customHeight="1" x14ac:dyDescent="0.35">
      <c r="A11" s="13">
        <v>6</v>
      </c>
      <c r="B11" s="39" t="s">
        <v>17</v>
      </c>
      <c r="C11" s="23"/>
      <c r="D11" s="23"/>
      <c r="E11" s="23"/>
      <c r="F11" s="13">
        <v>3</v>
      </c>
      <c r="G11" s="30">
        <f>SUM(I219:I221)</f>
        <v>2565984</v>
      </c>
      <c r="H11" s="23"/>
      <c r="I11" s="23"/>
      <c r="J11" s="15">
        <f>SUM(J219:J221)</f>
        <v>0</v>
      </c>
      <c r="K11" s="14">
        <f>D223</f>
        <v>2565984</v>
      </c>
      <c r="L11" s="34"/>
      <c r="M11" s="23"/>
      <c r="N11" s="23"/>
      <c r="O11" s="23"/>
    </row>
    <row r="12" spans="1:15" ht="15" customHeight="1" x14ac:dyDescent="0.35">
      <c r="A12" s="13">
        <v>7</v>
      </c>
      <c r="B12" s="39" t="s">
        <v>18</v>
      </c>
      <c r="C12" s="23"/>
      <c r="D12" s="23"/>
      <c r="E12" s="23"/>
      <c r="F12" s="13">
        <v>3</v>
      </c>
      <c r="G12" s="30">
        <f>SUM(I252:I254)</f>
        <v>2587944</v>
      </c>
      <c r="H12" s="23"/>
      <c r="I12" s="23"/>
      <c r="J12" s="15">
        <f>SUM(J252:J254)</f>
        <v>0</v>
      </c>
      <c r="K12" s="14">
        <f>D256</f>
        <v>2587944</v>
      </c>
      <c r="L12" s="34" t="s">
        <v>103</v>
      </c>
      <c r="M12" s="23"/>
      <c r="N12" s="23"/>
      <c r="O12" s="23"/>
    </row>
    <row r="13" spans="1:15" ht="15" customHeight="1" x14ac:dyDescent="0.35">
      <c r="A13" s="13">
        <v>8</v>
      </c>
      <c r="B13" s="39" t="s">
        <v>19</v>
      </c>
      <c r="C13" s="23"/>
      <c r="D13" s="23"/>
      <c r="E13" s="23"/>
      <c r="F13" s="13">
        <v>4</v>
      </c>
      <c r="G13" s="30">
        <f>SUM(I285:I288)</f>
        <v>3287976</v>
      </c>
      <c r="H13" s="23"/>
      <c r="I13" s="23"/>
      <c r="J13" s="15">
        <f>SUM(J285:J288)</f>
        <v>37800</v>
      </c>
      <c r="K13" s="14">
        <f>D290</f>
        <v>3325776</v>
      </c>
      <c r="L13" s="34" t="s">
        <v>104</v>
      </c>
      <c r="M13" s="23"/>
      <c r="N13" s="23"/>
      <c r="O13" s="23"/>
    </row>
    <row r="14" spans="1:15" ht="15" customHeight="1" x14ac:dyDescent="0.35">
      <c r="A14" s="13">
        <v>9</v>
      </c>
      <c r="B14" s="39" t="s">
        <v>20</v>
      </c>
      <c r="C14" s="23"/>
      <c r="D14" s="23"/>
      <c r="E14" s="23"/>
      <c r="F14" s="13">
        <v>4</v>
      </c>
      <c r="G14" s="30">
        <f>SUM(I319:I322)</f>
        <v>3064944</v>
      </c>
      <c r="H14" s="23"/>
      <c r="I14" s="23"/>
      <c r="J14" s="15">
        <f>SUM(J319:J322)</f>
        <v>0</v>
      </c>
      <c r="K14" s="14">
        <f>D324</f>
        <v>3064944</v>
      </c>
      <c r="L14" s="34"/>
      <c r="M14" s="23"/>
      <c r="N14" s="23"/>
      <c r="O14" s="23"/>
    </row>
    <row r="15" spans="1:15" ht="39" customHeight="1" x14ac:dyDescent="0.35">
      <c r="A15" s="13">
        <v>10</v>
      </c>
      <c r="B15" s="39" t="s">
        <v>21</v>
      </c>
      <c r="C15" s="23"/>
      <c r="D15" s="23"/>
      <c r="E15" s="23"/>
      <c r="F15" s="13">
        <v>5</v>
      </c>
      <c r="G15" s="30">
        <f>SUM(I353:I357)</f>
        <v>3725268</v>
      </c>
      <c r="H15" s="23"/>
      <c r="I15" s="23"/>
      <c r="J15" s="15">
        <f>SUM(J353:J357)</f>
        <v>328920</v>
      </c>
      <c r="K15" s="14">
        <f>D359</f>
        <v>4054188</v>
      </c>
      <c r="L15" s="34" t="s">
        <v>105</v>
      </c>
      <c r="M15" s="23"/>
      <c r="N15" s="23"/>
      <c r="O15" s="23"/>
    </row>
    <row r="16" spans="1:15" ht="15" customHeight="1" x14ac:dyDescent="0.35">
      <c r="A16" s="13">
        <v>11</v>
      </c>
      <c r="B16" s="39" t="s">
        <v>22</v>
      </c>
      <c r="C16" s="23"/>
      <c r="D16" s="23"/>
      <c r="E16" s="23"/>
      <c r="F16" s="13">
        <v>4</v>
      </c>
      <c r="G16" s="30">
        <f>SUM(I388:I391)</f>
        <v>2820588</v>
      </c>
      <c r="H16" s="23"/>
      <c r="I16" s="23"/>
      <c r="J16" s="15">
        <f>SUM(J388:J391)</f>
        <v>-346512</v>
      </c>
      <c r="K16" s="14">
        <f>D393</f>
        <v>2474076</v>
      </c>
      <c r="L16" s="34" t="s">
        <v>106</v>
      </c>
      <c r="M16" s="23"/>
      <c r="N16" s="23"/>
      <c r="O16" s="23"/>
    </row>
    <row r="17" spans="1:15" ht="15" customHeight="1" x14ac:dyDescent="0.35">
      <c r="A17" s="13">
        <v>12</v>
      </c>
      <c r="B17" s="39" t="s">
        <v>23</v>
      </c>
      <c r="C17" s="23"/>
      <c r="D17" s="23"/>
      <c r="E17" s="23"/>
      <c r="F17" s="13">
        <v>4</v>
      </c>
      <c r="G17" s="30">
        <f>SUM(I422:I425)</f>
        <v>3370512</v>
      </c>
      <c r="H17" s="23"/>
      <c r="I17" s="23"/>
      <c r="J17" s="15">
        <f>SUM(J422:J425)</f>
        <v>0</v>
      </c>
      <c r="K17" s="14">
        <f>D427</f>
        <v>3370512</v>
      </c>
      <c r="L17" s="34" t="s">
        <v>107</v>
      </c>
      <c r="M17" s="23"/>
      <c r="N17" s="23"/>
      <c r="O17" s="23"/>
    </row>
    <row r="18" spans="1:15" ht="15" customHeight="1" x14ac:dyDescent="0.35">
      <c r="A18" s="13">
        <v>13</v>
      </c>
      <c r="B18" s="39" t="s">
        <v>24</v>
      </c>
      <c r="C18" s="23"/>
      <c r="D18" s="23"/>
      <c r="E18" s="23"/>
      <c r="F18" s="13">
        <v>5</v>
      </c>
      <c r="G18" s="30">
        <f>SUM(I456:I460)</f>
        <v>4064112</v>
      </c>
      <c r="H18" s="23"/>
      <c r="I18" s="23"/>
      <c r="J18" s="15">
        <f>SUM(J456:J460)</f>
        <v>0</v>
      </c>
      <c r="K18" s="14">
        <f>D462</f>
        <v>4064112</v>
      </c>
      <c r="L18" s="34"/>
      <c r="M18" s="23"/>
      <c r="N18" s="23"/>
      <c r="O18" s="23"/>
    </row>
    <row r="19" spans="1:15" ht="27" customHeight="1" x14ac:dyDescent="0.35">
      <c r="A19" s="13">
        <v>14</v>
      </c>
      <c r="B19" s="39" t="s">
        <v>25</v>
      </c>
      <c r="C19" s="23"/>
      <c r="D19" s="23"/>
      <c r="E19" s="23"/>
      <c r="F19" s="13">
        <v>4</v>
      </c>
      <c r="G19" s="30">
        <f>SUM(I491:I494)</f>
        <v>3129660</v>
      </c>
      <c r="H19" s="23"/>
      <c r="I19" s="23"/>
      <c r="J19" s="15">
        <f>SUM(J491:J494)</f>
        <v>72000</v>
      </c>
      <c r="K19" s="14">
        <f>D496</f>
        <v>3201660</v>
      </c>
      <c r="L19" s="34" t="s">
        <v>108</v>
      </c>
      <c r="M19" s="23"/>
      <c r="N19" s="23"/>
      <c r="O19" s="23"/>
    </row>
    <row r="20" spans="1:15" ht="15" customHeight="1" x14ac:dyDescent="0.35">
      <c r="A20" s="13">
        <v>15</v>
      </c>
      <c r="B20" s="39" t="s">
        <v>26</v>
      </c>
      <c r="C20" s="23"/>
      <c r="D20" s="23"/>
      <c r="E20" s="23"/>
      <c r="F20" s="13">
        <v>3</v>
      </c>
      <c r="G20" s="30">
        <f>SUM(I525:I527)</f>
        <v>2587404</v>
      </c>
      <c r="H20" s="23"/>
      <c r="I20" s="23"/>
      <c r="J20" s="15">
        <f>SUM(J525:J527)</f>
        <v>0</v>
      </c>
      <c r="K20" s="14">
        <f>D529</f>
        <v>2587404</v>
      </c>
      <c r="L20" s="34"/>
      <c r="M20" s="23"/>
      <c r="N20" s="23"/>
      <c r="O20" s="23"/>
    </row>
    <row r="21" spans="1:15" x14ac:dyDescent="0.35">
      <c r="A21" s="36" t="s">
        <v>78</v>
      </c>
      <c r="B21" s="23"/>
      <c r="C21" s="23"/>
      <c r="D21" s="23"/>
      <c r="E21" s="23"/>
      <c r="F21" s="16">
        <f>SUM(F6:F20)</f>
        <v>59</v>
      </c>
      <c r="G21" s="41">
        <f>SUM(G6:G20)</f>
        <v>46085856</v>
      </c>
      <c r="H21" s="23"/>
      <c r="I21" s="23"/>
      <c r="J21" s="17">
        <f>SUM(J6:J20)</f>
        <v>268608</v>
      </c>
      <c r="K21" s="8">
        <f>SUM(K6:K20)</f>
        <v>46354464</v>
      </c>
      <c r="L21" s="23"/>
      <c r="M21" s="23"/>
      <c r="N21" s="23"/>
      <c r="O21" s="23"/>
    </row>
    <row r="23" spans="1:15" x14ac:dyDescent="0.35">
      <c r="H23" s="43" t="s">
        <v>109</v>
      </c>
      <c r="I23" s="28"/>
      <c r="J23" s="28"/>
      <c r="K23" s="28"/>
      <c r="L23" s="28"/>
      <c r="M23" s="28"/>
      <c r="N23" s="28"/>
      <c r="O23" s="28"/>
    </row>
    <row r="24" spans="1:15" x14ac:dyDescent="0.35">
      <c r="A24" s="35" t="s">
        <v>110</v>
      </c>
      <c r="B24" s="28"/>
      <c r="C24" s="28"/>
      <c r="D24" s="28"/>
      <c r="E24" s="28"/>
      <c r="F24" s="28"/>
      <c r="H24" s="35" t="s">
        <v>111</v>
      </c>
      <c r="I24" s="28"/>
      <c r="J24" s="28"/>
      <c r="K24" s="28"/>
      <c r="L24" s="28"/>
      <c r="M24" s="28"/>
      <c r="N24" s="28"/>
      <c r="O24" s="28"/>
    </row>
    <row r="25" spans="1:15" x14ac:dyDescent="0.35">
      <c r="H25" s="28"/>
      <c r="I25" s="28"/>
      <c r="J25" s="28"/>
      <c r="K25" s="28"/>
      <c r="L25" s="28"/>
      <c r="M25" s="28"/>
      <c r="N25" s="28"/>
      <c r="O25" s="28"/>
    </row>
    <row r="29" spans="1:15" x14ac:dyDescent="0.35">
      <c r="A29" s="32" t="s">
        <v>62</v>
      </c>
      <c r="B29" s="28"/>
      <c r="C29" s="28"/>
      <c r="D29" s="28"/>
      <c r="E29" s="28"/>
      <c r="F29" s="28"/>
      <c r="H29" s="32" t="s">
        <v>75</v>
      </c>
      <c r="I29" s="28"/>
      <c r="J29" s="28"/>
      <c r="K29" s="28"/>
      <c r="L29" s="28"/>
      <c r="M29" s="28"/>
      <c r="N29" s="28"/>
      <c r="O29" s="28"/>
    </row>
    <row r="31" spans="1:15" x14ac:dyDescent="0.35">
      <c r="D31" s="35" t="s">
        <v>112</v>
      </c>
      <c r="E31" s="28"/>
      <c r="F31" s="28"/>
      <c r="G31" s="28"/>
      <c r="H31" s="28"/>
      <c r="I31" s="28"/>
      <c r="J31" s="28"/>
      <c r="K31" s="28"/>
      <c r="L31" s="28"/>
    </row>
    <row r="36" spans="1:15" x14ac:dyDescent="0.35">
      <c r="D36" s="32" t="s">
        <v>113</v>
      </c>
      <c r="E36" s="28"/>
      <c r="F36" s="28"/>
      <c r="G36" s="28"/>
      <c r="H36" s="28"/>
      <c r="I36" s="28"/>
      <c r="J36" s="28"/>
      <c r="K36" s="28"/>
      <c r="L36" s="28"/>
    </row>
    <row r="39" spans="1:15" ht="15.5" x14ac:dyDescent="0.35">
      <c r="B39" s="1" t="s">
        <v>114</v>
      </c>
    </row>
    <row r="40" spans="1:15" ht="15.5" x14ac:dyDescent="0.35">
      <c r="B40" s="1" t="s">
        <v>115</v>
      </c>
    </row>
    <row r="41" spans="1:15" x14ac:dyDescent="0.35">
      <c r="B41" s="18" t="s">
        <v>116</v>
      </c>
    </row>
    <row r="42" spans="1:15" x14ac:dyDescent="0.35">
      <c r="A42" s="19"/>
      <c r="B42" s="20" t="s">
        <v>117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35">
      <c r="A44" s="37" t="s">
        <v>118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x14ac:dyDescent="0.35">
      <c r="L45" t="s">
        <v>119</v>
      </c>
      <c r="N45" t="s">
        <v>120</v>
      </c>
      <c r="O45" t="s">
        <v>121</v>
      </c>
    </row>
    <row r="46" spans="1:15" x14ac:dyDescent="0.35">
      <c r="A46" t="s">
        <v>122</v>
      </c>
      <c r="D46" s="2" t="s">
        <v>123</v>
      </c>
    </row>
    <row r="48" spans="1:15" x14ac:dyDescent="0.35">
      <c r="A48" s="3" t="s">
        <v>124</v>
      </c>
      <c r="B48" s="26" t="s">
        <v>125</v>
      </c>
      <c r="C48" s="23"/>
      <c r="D48" s="23"/>
      <c r="E48" s="23"/>
      <c r="F48" s="3" t="s">
        <v>78</v>
      </c>
      <c r="G48" s="3" t="s">
        <v>126</v>
      </c>
      <c r="H48" s="3" t="s">
        <v>127</v>
      </c>
      <c r="I48" s="3" t="s">
        <v>128</v>
      </c>
      <c r="J48" s="3" t="s">
        <v>129</v>
      </c>
      <c r="K48" s="3" t="s">
        <v>130</v>
      </c>
      <c r="L48" s="26" t="s">
        <v>131</v>
      </c>
      <c r="M48" s="23"/>
      <c r="N48" s="23"/>
      <c r="O48" s="23"/>
    </row>
    <row r="49" spans="1:15" ht="22" customHeight="1" x14ac:dyDescent="0.35">
      <c r="A49" s="21" t="s">
        <v>132</v>
      </c>
      <c r="B49" s="29" t="s">
        <v>133</v>
      </c>
      <c r="C49" s="23"/>
      <c r="D49" s="23"/>
      <c r="E49" s="23"/>
      <c r="F49" s="21">
        <v>4</v>
      </c>
      <c r="G49" s="21">
        <v>3</v>
      </c>
      <c r="H49" s="7">
        <v>80062</v>
      </c>
      <c r="I49" s="7">
        <f>F49*G49*H49</f>
        <v>960744</v>
      </c>
      <c r="J49" s="9">
        <v>0</v>
      </c>
      <c r="K49" s="7">
        <f>I49+J49</f>
        <v>960744</v>
      </c>
      <c r="L49">
        <v>1</v>
      </c>
      <c r="M49" t="s">
        <v>134</v>
      </c>
    </row>
    <row r="50" spans="1:15" ht="22" customHeight="1" x14ac:dyDescent="0.35">
      <c r="A50" s="21" t="s">
        <v>135</v>
      </c>
      <c r="B50" s="29" t="s">
        <v>136</v>
      </c>
      <c r="C50" s="23"/>
      <c r="D50" s="23"/>
      <c r="E50" s="23"/>
      <c r="F50" s="21">
        <v>4</v>
      </c>
      <c r="G50" s="21">
        <v>3</v>
      </c>
      <c r="H50" s="7">
        <v>76912</v>
      </c>
      <c r="I50" s="7">
        <f>F50*G50*H50</f>
        <v>922944</v>
      </c>
      <c r="J50" s="9">
        <v>0</v>
      </c>
      <c r="K50" s="7">
        <f>I50+J50</f>
        <v>922944</v>
      </c>
      <c r="N50">
        <v>2</v>
      </c>
      <c r="O50" t="s">
        <v>134</v>
      </c>
    </row>
    <row r="51" spans="1:15" ht="22" customHeight="1" x14ac:dyDescent="0.35">
      <c r="A51" s="21" t="s">
        <v>137</v>
      </c>
      <c r="B51" s="29" t="s">
        <v>138</v>
      </c>
      <c r="C51" s="23"/>
      <c r="D51" s="23"/>
      <c r="E51" s="23"/>
      <c r="F51" s="21">
        <v>4</v>
      </c>
      <c r="G51" s="21">
        <v>3</v>
      </c>
      <c r="H51" s="7">
        <v>45000</v>
      </c>
      <c r="I51" s="7">
        <f>F51*G51*H51</f>
        <v>540000</v>
      </c>
      <c r="J51" s="9">
        <v>0</v>
      </c>
      <c r="K51" s="7">
        <f>I51+J51</f>
        <v>540000</v>
      </c>
      <c r="L51">
        <v>3</v>
      </c>
      <c r="M51" t="s">
        <v>134</v>
      </c>
    </row>
    <row r="52" spans="1:15" ht="22" customHeight="1" x14ac:dyDescent="0.35">
      <c r="A52" s="21" t="s">
        <v>139</v>
      </c>
      <c r="B52" s="29" t="s">
        <v>140</v>
      </c>
      <c r="C52" s="23"/>
      <c r="D52" s="23"/>
      <c r="E52" s="23"/>
      <c r="F52" s="21">
        <v>4</v>
      </c>
      <c r="G52" s="21">
        <v>3</v>
      </c>
      <c r="H52" s="7">
        <v>45000</v>
      </c>
      <c r="I52" s="7">
        <f>F52*G52*H52</f>
        <v>540000</v>
      </c>
      <c r="J52" s="9">
        <v>0</v>
      </c>
      <c r="K52" s="7">
        <f>I52+J52</f>
        <v>540000</v>
      </c>
      <c r="N52">
        <v>4</v>
      </c>
      <c r="O52" t="s">
        <v>134</v>
      </c>
    </row>
    <row r="54" spans="1:15" x14ac:dyDescent="0.35">
      <c r="A54" t="s">
        <v>141</v>
      </c>
      <c r="C54" t="s">
        <v>120</v>
      </c>
      <c r="D54" s="40">
        <f>SUM(K49:K52)</f>
        <v>2963688</v>
      </c>
      <c r="E54" s="28"/>
    </row>
    <row r="55" spans="1:15" ht="30" customHeight="1" x14ac:dyDescent="0.35">
      <c r="A55" s="22" t="s">
        <v>142</v>
      </c>
      <c r="C55" s="22" t="s">
        <v>120</v>
      </c>
      <c r="D55" s="31" t="s">
        <v>143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1:15" x14ac:dyDescent="0.35">
      <c r="A56" t="s">
        <v>144</v>
      </c>
      <c r="C56" t="s">
        <v>120</v>
      </c>
      <c r="D56" t="s">
        <v>145</v>
      </c>
    </row>
    <row r="57" spans="1:15" x14ac:dyDescent="0.35">
      <c r="D57" t="s">
        <v>146</v>
      </c>
    </row>
    <row r="59" spans="1:15" x14ac:dyDescent="0.35">
      <c r="A59" s="2" t="s">
        <v>147</v>
      </c>
      <c r="D59" s="27" t="s">
        <v>131</v>
      </c>
      <c r="E59" s="28"/>
      <c r="F59" s="2" t="s">
        <v>148</v>
      </c>
      <c r="M59" s="2" t="s">
        <v>149</v>
      </c>
      <c r="O59" s="2" t="s">
        <v>78</v>
      </c>
    </row>
    <row r="61" spans="1:15" x14ac:dyDescent="0.35">
      <c r="A61" t="s">
        <v>150</v>
      </c>
      <c r="M61" t="s">
        <v>151</v>
      </c>
      <c r="O61" s="10">
        <f>D54</f>
        <v>2963688</v>
      </c>
    </row>
    <row r="64" spans="1:15" x14ac:dyDescent="0.35">
      <c r="A64" t="s">
        <v>152</v>
      </c>
    </row>
    <row r="67" spans="1:15" x14ac:dyDescent="0.35">
      <c r="A67" t="s">
        <v>153</v>
      </c>
    </row>
    <row r="70" spans="1:15" x14ac:dyDescent="0.35">
      <c r="A70" t="s">
        <v>154</v>
      </c>
    </row>
    <row r="73" spans="1:15" ht="15.5" x14ac:dyDescent="0.35">
      <c r="B73" s="1" t="s">
        <v>114</v>
      </c>
    </row>
    <row r="74" spans="1:15" ht="15.5" x14ac:dyDescent="0.35">
      <c r="B74" s="1" t="s">
        <v>115</v>
      </c>
    </row>
    <row r="75" spans="1:15" x14ac:dyDescent="0.35">
      <c r="B75" s="18" t="s">
        <v>116</v>
      </c>
    </row>
    <row r="76" spans="1:15" x14ac:dyDescent="0.35">
      <c r="A76" s="19"/>
      <c r="B76" s="20" t="s">
        <v>117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</row>
    <row r="78" spans="1:15" x14ac:dyDescent="0.35">
      <c r="A78" s="37" t="s">
        <v>118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x14ac:dyDescent="0.35">
      <c r="L79" t="s">
        <v>119</v>
      </c>
      <c r="N79" t="s">
        <v>120</v>
      </c>
      <c r="O79" t="s">
        <v>121</v>
      </c>
    </row>
    <row r="80" spans="1:15" x14ac:dyDescent="0.35">
      <c r="A80" t="s">
        <v>122</v>
      </c>
      <c r="D80" s="2" t="s">
        <v>155</v>
      </c>
    </row>
    <row r="82" spans="1:15" x14ac:dyDescent="0.35">
      <c r="A82" s="3" t="s">
        <v>124</v>
      </c>
      <c r="B82" s="26" t="s">
        <v>125</v>
      </c>
      <c r="C82" s="23"/>
      <c r="D82" s="23"/>
      <c r="E82" s="23"/>
      <c r="F82" s="3" t="s">
        <v>78</v>
      </c>
      <c r="G82" s="3" t="s">
        <v>126</v>
      </c>
      <c r="H82" s="3" t="s">
        <v>127</v>
      </c>
      <c r="I82" s="3" t="s">
        <v>128</v>
      </c>
      <c r="J82" s="3" t="s">
        <v>129</v>
      </c>
      <c r="K82" s="3" t="s">
        <v>130</v>
      </c>
      <c r="L82" s="26" t="s">
        <v>131</v>
      </c>
      <c r="M82" s="23"/>
      <c r="N82" s="23"/>
      <c r="O82" s="23"/>
    </row>
    <row r="83" spans="1:15" ht="22" customHeight="1" x14ac:dyDescent="0.35">
      <c r="A83" s="21" t="s">
        <v>132</v>
      </c>
      <c r="B83" s="29" t="s">
        <v>156</v>
      </c>
      <c r="C83" s="23"/>
      <c r="D83" s="23"/>
      <c r="E83" s="23"/>
      <c r="F83" s="21">
        <v>4</v>
      </c>
      <c r="G83" s="21">
        <v>3</v>
      </c>
      <c r="H83" s="7">
        <v>74287</v>
      </c>
      <c r="I83" s="7">
        <f>F83*G83*H83</f>
        <v>891444</v>
      </c>
      <c r="J83" s="9">
        <v>0</v>
      </c>
      <c r="K83" s="7">
        <f>I83+J83</f>
        <v>891444</v>
      </c>
      <c r="L83">
        <v>1</v>
      </c>
      <c r="M83" t="s">
        <v>134</v>
      </c>
    </row>
    <row r="84" spans="1:15" ht="22" customHeight="1" x14ac:dyDescent="0.35">
      <c r="A84" s="21" t="s">
        <v>135</v>
      </c>
      <c r="B84" s="29" t="s">
        <v>157</v>
      </c>
      <c r="C84" s="23"/>
      <c r="D84" s="23"/>
      <c r="E84" s="23"/>
      <c r="F84" s="21">
        <v>4</v>
      </c>
      <c r="G84" s="21">
        <v>3</v>
      </c>
      <c r="H84" s="7">
        <v>71138</v>
      </c>
      <c r="I84" s="7">
        <f>F84*G84*H84</f>
        <v>853656</v>
      </c>
      <c r="J84" s="9">
        <v>0</v>
      </c>
      <c r="K84" s="7">
        <f>I84+J84</f>
        <v>853656</v>
      </c>
      <c r="N84">
        <v>2</v>
      </c>
      <c r="O84" t="s">
        <v>134</v>
      </c>
    </row>
    <row r="85" spans="1:15" ht="22" customHeight="1" x14ac:dyDescent="0.35">
      <c r="A85" s="21" t="s">
        <v>137</v>
      </c>
      <c r="B85" s="29" t="s">
        <v>158</v>
      </c>
      <c r="C85" s="23"/>
      <c r="D85" s="23"/>
      <c r="E85" s="23"/>
      <c r="F85" s="21">
        <v>4</v>
      </c>
      <c r="G85" s="21">
        <v>3</v>
      </c>
      <c r="H85" s="7">
        <v>45000</v>
      </c>
      <c r="I85" s="7">
        <f>F85*G85*H85</f>
        <v>540000</v>
      </c>
      <c r="J85" s="9">
        <v>0</v>
      </c>
      <c r="K85" s="7">
        <f>I85+J85</f>
        <v>540000</v>
      </c>
      <c r="L85">
        <v>3</v>
      </c>
      <c r="M85" t="s">
        <v>134</v>
      </c>
    </row>
    <row r="86" spans="1:15" ht="22" customHeight="1" x14ac:dyDescent="0.35">
      <c r="A86" s="21" t="s">
        <v>139</v>
      </c>
      <c r="B86" s="29" t="s">
        <v>159</v>
      </c>
      <c r="C86" s="23"/>
      <c r="D86" s="23"/>
      <c r="E86" s="23"/>
      <c r="F86" s="21">
        <v>4</v>
      </c>
      <c r="G86" s="21">
        <v>3</v>
      </c>
      <c r="H86" s="7">
        <v>60000</v>
      </c>
      <c r="I86" s="7">
        <f>F86*G86*H86</f>
        <v>720000</v>
      </c>
      <c r="J86" s="9">
        <v>0</v>
      </c>
      <c r="K86" s="7">
        <f>I86+J86</f>
        <v>720000</v>
      </c>
      <c r="N86">
        <v>4</v>
      </c>
      <c r="O86" t="s">
        <v>134</v>
      </c>
    </row>
    <row r="88" spans="1:15" x14ac:dyDescent="0.35">
      <c r="A88" t="s">
        <v>141</v>
      </c>
      <c r="C88" t="s">
        <v>120</v>
      </c>
      <c r="D88" s="40">
        <f>SUM(K83:K86)</f>
        <v>3005100</v>
      </c>
      <c r="E88" s="28"/>
    </row>
    <row r="89" spans="1:15" ht="30" customHeight="1" x14ac:dyDescent="0.35">
      <c r="A89" s="22" t="s">
        <v>142</v>
      </c>
      <c r="C89" s="22" t="s">
        <v>120</v>
      </c>
      <c r="D89" s="31" t="s">
        <v>160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x14ac:dyDescent="0.35">
      <c r="A90" t="s">
        <v>144</v>
      </c>
      <c r="C90" t="s">
        <v>120</v>
      </c>
      <c r="D90" t="s">
        <v>145</v>
      </c>
    </row>
    <row r="91" spans="1:15" x14ac:dyDescent="0.35">
      <c r="D91" t="s">
        <v>146</v>
      </c>
    </row>
    <row r="93" spans="1:15" x14ac:dyDescent="0.35">
      <c r="A93" s="2" t="s">
        <v>147</v>
      </c>
      <c r="D93" s="27" t="s">
        <v>131</v>
      </c>
      <c r="E93" s="28"/>
      <c r="F93" s="2" t="s">
        <v>148</v>
      </c>
      <c r="M93" s="2" t="s">
        <v>149</v>
      </c>
      <c r="O93" s="2" t="s">
        <v>78</v>
      </c>
    </row>
    <row r="95" spans="1:15" x14ac:dyDescent="0.35">
      <c r="A95" t="s">
        <v>150</v>
      </c>
      <c r="M95" t="s">
        <v>151</v>
      </c>
      <c r="O95" s="10">
        <f>D88</f>
        <v>3005100</v>
      </c>
    </row>
    <row r="98" spans="1:15" x14ac:dyDescent="0.35">
      <c r="A98" t="s">
        <v>152</v>
      </c>
    </row>
    <row r="101" spans="1:15" x14ac:dyDescent="0.35">
      <c r="A101" t="s">
        <v>153</v>
      </c>
    </row>
    <row r="104" spans="1:15" x14ac:dyDescent="0.35">
      <c r="A104" t="s">
        <v>154</v>
      </c>
    </row>
    <row r="107" spans="1:15" ht="15.5" x14ac:dyDescent="0.35">
      <c r="B107" s="1" t="s">
        <v>114</v>
      </c>
    </row>
    <row r="108" spans="1:15" ht="15.5" x14ac:dyDescent="0.35">
      <c r="B108" s="1" t="s">
        <v>115</v>
      </c>
    </row>
    <row r="109" spans="1:15" x14ac:dyDescent="0.35">
      <c r="B109" s="18" t="s">
        <v>116</v>
      </c>
    </row>
    <row r="110" spans="1:15" x14ac:dyDescent="0.35">
      <c r="A110" s="19"/>
      <c r="B110" s="20" t="s">
        <v>117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2" spans="1:15" x14ac:dyDescent="0.35">
      <c r="A112" s="37" t="s">
        <v>118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x14ac:dyDescent="0.35">
      <c r="L113" t="s">
        <v>119</v>
      </c>
      <c r="N113" t="s">
        <v>120</v>
      </c>
      <c r="O113" t="s">
        <v>121</v>
      </c>
    </row>
    <row r="114" spans="1:15" x14ac:dyDescent="0.35">
      <c r="A114" t="s">
        <v>122</v>
      </c>
      <c r="D114" s="2" t="s">
        <v>161</v>
      </c>
    </row>
    <row r="116" spans="1:15" x14ac:dyDescent="0.35">
      <c r="A116" s="3" t="s">
        <v>124</v>
      </c>
      <c r="B116" s="26" t="s">
        <v>125</v>
      </c>
      <c r="C116" s="23"/>
      <c r="D116" s="23"/>
      <c r="E116" s="23"/>
      <c r="F116" s="3" t="s">
        <v>78</v>
      </c>
      <c r="G116" s="3" t="s">
        <v>126</v>
      </c>
      <c r="H116" s="3" t="s">
        <v>127</v>
      </c>
      <c r="I116" s="3" t="s">
        <v>128</v>
      </c>
      <c r="J116" s="3" t="s">
        <v>129</v>
      </c>
      <c r="K116" s="3" t="s">
        <v>130</v>
      </c>
      <c r="L116" s="26" t="s">
        <v>131</v>
      </c>
      <c r="M116" s="23"/>
      <c r="N116" s="23"/>
      <c r="O116" s="23"/>
    </row>
    <row r="117" spans="1:15" ht="22" customHeight="1" x14ac:dyDescent="0.35">
      <c r="A117" s="21" t="s">
        <v>132</v>
      </c>
      <c r="B117" s="29" t="s">
        <v>162</v>
      </c>
      <c r="C117" s="23"/>
      <c r="D117" s="23"/>
      <c r="E117" s="23"/>
      <c r="F117" s="21">
        <v>4</v>
      </c>
      <c r="G117" s="21">
        <v>3</v>
      </c>
      <c r="H117" s="7">
        <v>78225</v>
      </c>
      <c r="I117" s="7">
        <f>F117*G117*H117</f>
        <v>938700</v>
      </c>
      <c r="J117" s="9">
        <v>0</v>
      </c>
      <c r="K117" s="7">
        <f>I117+J117</f>
        <v>938700</v>
      </c>
      <c r="L117">
        <v>1</v>
      </c>
      <c r="M117" t="s">
        <v>134</v>
      </c>
    </row>
    <row r="118" spans="1:15" ht="22" customHeight="1" x14ac:dyDescent="0.35">
      <c r="A118" s="21" t="s">
        <v>135</v>
      </c>
      <c r="B118" s="29" t="s">
        <v>163</v>
      </c>
      <c r="C118" s="23"/>
      <c r="D118" s="23"/>
      <c r="E118" s="23"/>
      <c r="F118" s="21">
        <v>4</v>
      </c>
      <c r="G118" s="21">
        <v>3</v>
      </c>
      <c r="H118" s="7">
        <v>76912</v>
      </c>
      <c r="I118" s="7">
        <f>F118*G118*H118</f>
        <v>922944</v>
      </c>
      <c r="J118" s="9">
        <v>0</v>
      </c>
      <c r="K118" s="7">
        <f>I118+J118</f>
        <v>922944</v>
      </c>
      <c r="N118">
        <v>2</v>
      </c>
      <c r="O118" t="s">
        <v>134</v>
      </c>
    </row>
    <row r="119" spans="1:15" ht="22" customHeight="1" x14ac:dyDescent="0.35">
      <c r="A119" s="21" t="s">
        <v>137</v>
      </c>
      <c r="B119" s="29" t="s">
        <v>59</v>
      </c>
      <c r="C119" s="23"/>
      <c r="D119" s="23"/>
      <c r="E119" s="23"/>
      <c r="F119" s="21">
        <v>4</v>
      </c>
      <c r="G119" s="21">
        <v>3</v>
      </c>
      <c r="H119" s="7">
        <v>61162</v>
      </c>
      <c r="I119" s="7">
        <f>F119*G119*H119</f>
        <v>733944</v>
      </c>
      <c r="J119" s="9">
        <v>176400</v>
      </c>
      <c r="K119" s="7">
        <f>I119+J119</f>
        <v>910344</v>
      </c>
      <c r="L119">
        <v>3</v>
      </c>
      <c r="M119" t="s">
        <v>134</v>
      </c>
    </row>
    <row r="120" spans="1:15" ht="22" customHeight="1" x14ac:dyDescent="0.35">
      <c r="A120" s="21" t="s">
        <v>139</v>
      </c>
      <c r="B120" s="29" t="s">
        <v>164</v>
      </c>
      <c r="C120" s="23"/>
      <c r="D120" s="23"/>
      <c r="E120" s="23"/>
      <c r="F120" s="21">
        <v>4</v>
      </c>
      <c r="G120" s="21">
        <v>3</v>
      </c>
      <c r="H120" s="7">
        <v>45000</v>
      </c>
      <c r="I120" s="7">
        <f>F120*G120*H120</f>
        <v>540000</v>
      </c>
      <c r="J120" s="9">
        <v>0</v>
      </c>
      <c r="K120" s="7">
        <f>I120+J120</f>
        <v>540000</v>
      </c>
      <c r="N120">
        <v>4</v>
      </c>
      <c r="O120" t="s">
        <v>134</v>
      </c>
    </row>
    <row r="121" spans="1:15" ht="24" customHeight="1" x14ac:dyDescent="0.35">
      <c r="A121" s="38" t="s">
        <v>165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x14ac:dyDescent="0.35">
      <c r="A122" t="s">
        <v>141</v>
      </c>
      <c r="C122" t="s">
        <v>120</v>
      </c>
      <c r="D122" s="40">
        <f>SUM(K117:K120)</f>
        <v>3311988</v>
      </c>
      <c r="E122" s="28"/>
    </row>
    <row r="123" spans="1:15" ht="30" customHeight="1" x14ac:dyDescent="0.35">
      <c r="A123" s="22" t="s">
        <v>142</v>
      </c>
      <c r="C123" s="22" t="s">
        <v>120</v>
      </c>
      <c r="D123" s="31" t="s">
        <v>166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x14ac:dyDescent="0.35">
      <c r="A124" t="s">
        <v>144</v>
      </c>
      <c r="C124" t="s">
        <v>120</v>
      </c>
      <c r="D124" t="s">
        <v>145</v>
      </c>
    </row>
    <row r="125" spans="1:15" x14ac:dyDescent="0.35">
      <c r="D125" t="s">
        <v>146</v>
      </c>
    </row>
    <row r="126" spans="1:15" x14ac:dyDescent="0.35">
      <c r="D126" t="s">
        <v>167</v>
      </c>
    </row>
    <row r="127" spans="1:15" x14ac:dyDescent="0.35">
      <c r="A127" s="2" t="s">
        <v>147</v>
      </c>
      <c r="D127" s="27" t="s">
        <v>131</v>
      </c>
      <c r="E127" s="28"/>
      <c r="F127" s="2" t="s">
        <v>148</v>
      </c>
      <c r="M127" s="2" t="s">
        <v>149</v>
      </c>
      <c r="O127" s="2" t="s">
        <v>78</v>
      </c>
    </row>
    <row r="129" spans="1:15" x14ac:dyDescent="0.35">
      <c r="A129" t="s">
        <v>150</v>
      </c>
      <c r="M129" t="s">
        <v>151</v>
      </c>
      <c r="O129" s="10">
        <f>D122</f>
        <v>3311988</v>
      </c>
    </row>
    <row r="132" spans="1:15" x14ac:dyDescent="0.35">
      <c r="A132" t="s">
        <v>152</v>
      </c>
    </row>
    <row r="135" spans="1:15" x14ac:dyDescent="0.35">
      <c r="A135" t="s">
        <v>153</v>
      </c>
    </row>
    <row r="138" spans="1:15" x14ac:dyDescent="0.35">
      <c r="A138" t="s">
        <v>154</v>
      </c>
    </row>
    <row r="141" spans="1:15" ht="15.5" x14ac:dyDescent="0.35">
      <c r="B141" s="1" t="s">
        <v>114</v>
      </c>
    </row>
    <row r="142" spans="1:15" ht="15.5" x14ac:dyDescent="0.35">
      <c r="B142" s="1" t="s">
        <v>115</v>
      </c>
    </row>
    <row r="143" spans="1:15" x14ac:dyDescent="0.35">
      <c r="B143" s="18" t="s">
        <v>116</v>
      </c>
    </row>
    <row r="144" spans="1:15" x14ac:dyDescent="0.35">
      <c r="A144" s="19"/>
      <c r="B144" s="20" t="s">
        <v>117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6" spans="1:15" x14ac:dyDescent="0.35">
      <c r="A146" s="37" t="s">
        <v>118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x14ac:dyDescent="0.35">
      <c r="L147" t="s">
        <v>119</v>
      </c>
      <c r="N147" t="s">
        <v>120</v>
      </c>
      <c r="O147" t="s">
        <v>121</v>
      </c>
    </row>
    <row r="148" spans="1:15" x14ac:dyDescent="0.35">
      <c r="A148" t="s">
        <v>122</v>
      </c>
      <c r="D148" s="2" t="s">
        <v>168</v>
      </c>
    </row>
    <row r="150" spans="1:15" x14ac:dyDescent="0.35">
      <c r="A150" s="3" t="s">
        <v>124</v>
      </c>
      <c r="B150" s="26" t="s">
        <v>125</v>
      </c>
      <c r="C150" s="23"/>
      <c r="D150" s="23"/>
      <c r="E150" s="23"/>
      <c r="F150" s="3" t="s">
        <v>78</v>
      </c>
      <c r="G150" s="3" t="s">
        <v>126</v>
      </c>
      <c r="H150" s="3" t="s">
        <v>127</v>
      </c>
      <c r="I150" s="3" t="s">
        <v>128</v>
      </c>
      <c r="J150" s="3" t="s">
        <v>129</v>
      </c>
      <c r="K150" s="3" t="s">
        <v>130</v>
      </c>
      <c r="L150" s="26" t="s">
        <v>131</v>
      </c>
      <c r="M150" s="23"/>
      <c r="N150" s="23"/>
      <c r="O150" s="23"/>
    </row>
    <row r="151" spans="1:15" ht="22" customHeight="1" x14ac:dyDescent="0.35">
      <c r="A151" s="21" t="s">
        <v>132</v>
      </c>
      <c r="B151" s="29" t="s">
        <v>169</v>
      </c>
      <c r="C151" s="23"/>
      <c r="D151" s="23"/>
      <c r="E151" s="23"/>
      <c r="F151" s="21">
        <v>4</v>
      </c>
      <c r="G151" s="21">
        <v>3</v>
      </c>
      <c r="H151" s="7">
        <v>56963</v>
      </c>
      <c r="I151" s="7">
        <f>F151*G151*H151</f>
        <v>683556</v>
      </c>
      <c r="J151" s="9">
        <v>0</v>
      </c>
      <c r="K151" s="7">
        <f>I151+J151</f>
        <v>683556</v>
      </c>
      <c r="L151">
        <v>1</v>
      </c>
      <c r="M151" t="s">
        <v>134</v>
      </c>
    </row>
    <row r="152" spans="1:15" ht="22" customHeight="1" x14ac:dyDescent="0.35">
      <c r="A152" s="21" t="s">
        <v>135</v>
      </c>
      <c r="B152" s="29" t="s">
        <v>170</v>
      </c>
      <c r="C152" s="23"/>
      <c r="D152" s="23"/>
      <c r="E152" s="23"/>
      <c r="F152" s="21">
        <v>4</v>
      </c>
      <c r="G152" s="21">
        <v>3</v>
      </c>
      <c r="H152" s="7">
        <v>59115</v>
      </c>
      <c r="I152" s="7">
        <f>F152*G152*H152</f>
        <v>709380</v>
      </c>
      <c r="J152" s="9">
        <v>0</v>
      </c>
      <c r="K152" s="7">
        <f>I152+J152</f>
        <v>709380</v>
      </c>
      <c r="N152">
        <v>2</v>
      </c>
      <c r="O152" t="s">
        <v>134</v>
      </c>
    </row>
    <row r="153" spans="1:15" ht="22" customHeight="1" x14ac:dyDescent="0.35">
      <c r="A153" s="21" t="s">
        <v>137</v>
      </c>
      <c r="B153" s="29" t="s">
        <v>171</v>
      </c>
      <c r="C153" s="23"/>
      <c r="D153" s="23"/>
      <c r="E153" s="23"/>
      <c r="F153" s="21">
        <v>4</v>
      </c>
      <c r="G153" s="21">
        <v>3</v>
      </c>
      <c r="H153" s="7">
        <v>54652</v>
      </c>
      <c r="I153" s="7">
        <f>F153*G153*H153</f>
        <v>655824</v>
      </c>
      <c r="J153" s="9">
        <v>0</v>
      </c>
      <c r="K153" s="7">
        <f>I153+J153</f>
        <v>655824</v>
      </c>
      <c r="L153">
        <v>3</v>
      </c>
      <c r="M153" t="s">
        <v>134</v>
      </c>
    </row>
    <row r="154" spans="1:15" ht="22" customHeight="1" x14ac:dyDescent="0.35">
      <c r="A154" s="21" t="s">
        <v>139</v>
      </c>
      <c r="B154" s="29" t="s">
        <v>172</v>
      </c>
      <c r="C154" s="23"/>
      <c r="D154" s="23"/>
      <c r="E154" s="23"/>
      <c r="F154" s="21">
        <v>4</v>
      </c>
      <c r="G154" s="21">
        <v>3</v>
      </c>
      <c r="H154" s="7">
        <v>53812</v>
      </c>
      <c r="I154" s="7">
        <f>F154*G154*H154</f>
        <v>645744</v>
      </c>
      <c r="J154" s="9">
        <v>0</v>
      </c>
      <c r="K154" s="7">
        <f>I154+J154</f>
        <v>645744</v>
      </c>
      <c r="N154">
        <v>4</v>
      </c>
      <c r="O154" t="s">
        <v>134</v>
      </c>
    </row>
    <row r="156" spans="1:15" x14ac:dyDescent="0.35">
      <c r="A156" t="s">
        <v>141</v>
      </c>
      <c r="C156" t="s">
        <v>120</v>
      </c>
      <c r="D156" s="40">
        <f>SUM(K151:K154)</f>
        <v>2694504</v>
      </c>
      <c r="E156" s="28"/>
    </row>
    <row r="157" spans="1:15" ht="30" customHeight="1" x14ac:dyDescent="0.35">
      <c r="A157" s="22" t="s">
        <v>142</v>
      </c>
      <c r="C157" s="22" t="s">
        <v>120</v>
      </c>
      <c r="D157" s="31" t="s">
        <v>173</v>
      </c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x14ac:dyDescent="0.35">
      <c r="A158" t="s">
        <v>144</v>
      </c>
      <c r="C158" t="s">
        <v>120</v>
      </c>
      <c r="D158" t="s">
        <v>145</v>
      </c>
    </row>
    <row r="159" spans="1:15" x14ac:dyDescent="0.35">
      <c r="D159" t="s">
        <v>146</v>
      </c>
    </row>
    <row r="161" spans="1:15" x14ac:dyDescent="0.35">
      <c r="A161" s="2" t="s">
        <v>147</v>
      </c>
      <c r="D161" s="27" t="s">
        <v>131</v>
      </c>
      <c r="E161" s="28"/>
      <c r="F161" s="2" t="s">
        <v>148</v>
      </c>
      <c r="M161" s="2" t="s">
        <v>149</v>
      </c>
      <c r="O161" s="2" t="s">
        <v>78</v>
      </c>
    </row>
    <row r="163" spans="1:15" x14ac:dyDescent="0.35">
      <c r="A163" t="s">
        <v>150</v>
      </c>
      <c r="M163" t="s">
        <v>151</v>
      </c>
      <c r="O163" s="10">
        <f>D156</f>
        <v>2694504</v>
      </c>
    </row>
    <row r="166" spans="1:15" x14ac:dyDescent="0.35">
      <c r="A166" t="s">
        <v>152</v>
      </c>
    </row>
    <row r="169" spans="1:15" x14ac:dyDescent="0.35">
      <c r="A169" t="s">
        <v>153</v>
      </c>
    </row>
    <row r="172" spans="1:15" x14ac:dyDescent="0.35">
      <c r="A172" t="s">
        <v>154</v>
      </c>
    </row>
    <row r="175" spans="1:15" ht="15.5" x14ac:dyDescent="0.35">
      <c r="B175" s="1" t="s">
        <v>114</v>
      </c>
    </row>
    <row r="176" spans="1:15" ht="15.5" x14ac:dyDescent="0.35">
      <c r="B176" s="1" t="s">
        <v>115</v>
      </c>
    </row>
    <row r="177" spans="1:15" x14ac:dyDescent="0.35">
      <c r="B177" s="18" t="s">
        <v>116</v>
      </c>
    </row>
    <row r="178" spans="1:15" x14ac:dyDescent="0.35">
      <c r="A178" s="19"/>
      <c r="B178" s="20" t="s">
        <v>117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</row>
    <row r="180" spans="1:15" x14ac:dyDescent="0.35">
      <c r="A180" s="37" t="s">
        <v>118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x14ac:dyDescent="0.35">
      <c r="L181" t="s">
        <v>119</v>
      </c>
      <c r="N181" t="s">
        <v>120</v>
      </c>
      <c r="O181" t="s">
        <v>121</v>
      </c>
    </row>
    <row r="182" spans="1:15" x14ac:dyDescent="0.35">
      <c r="A182" t="s">
        <v>122</v>
      </c>
      <c r="D182" s="2" t="s">
        <v>174</v>
      </c>
    </row>
    <row r="184" spans="1:15" x14ac:dyDescent="0.35">
      <c r="A184" s="3" t="s">
        <v>124</v>
      </c>
      <c r="B184" s="26" t="s">
        <v>125</v>
      </c>
      <c r="C184" s="23"/>
      <c r="D184" s="23"/>
      <c r="E184" s="23"/>
      <c r="F184" s="3" t="s">
        <v>78</v>
      </c>
      <c r="G184" s="3" t="s">
        <v>126</v>
      </c>
      <c r="H184" s="3" t="s">
        <v>127</v>
      </c>
      <c r="I184" s="3" t="s">
        <v>128</v>
      </c>
      <c r="J184" s="3" t="s">
        <v>129</v>
      </c>
      <c r="K184" s="3" t="s">
        <v>130</v>
      </c>
      <c r="L184" s="26" t="s">
        <v>131</v>
      </c>
      <c r="M184" s="23"/>
      <c r="N184" s="23"/>
      <c r="O184" s="23"/>
    </row>
    <row r="185" spans="1:15" ht="22" customHeight="1" x14ac:dyDescent="0.35">
      <c r="A185" s="21" t="s">
        <v>132</v>
      </c>
      <c r="B185" s="29" t="s">
        <v>175</v>
      </c>
      <c r="C185" s="23"/>
      <c r="D185" s="23"/>
      <c r="E185" s="23"/>
      <c r="F185" s="21">
        <v>4</v>
      </c>
      <c r="G185" s="21">
        <v>3</v>
      </c>
      <c r="H185" s="7">
        <v>54652</v>
      </c>
      <c r="I185" s="7">
        <f>F185*G185*H185</f>
        <v>655824</v>
      </c>
      <c r="J185" s="9">
        <v>0</v>
      </c>
      <c r="K185" s="7">
        <f>I185+J185</f>
        <v>655824</v>
      </c>
      <c r="L185">
        <v>1</v>
      </c>
      <c r="M185" t="s">
        <v>134</v>
      </c>
    </row>
    <row r="186" spans="1:15" ht="22" customHeight="1" x14ac:dyDescent="0.35">
      <c r="A186" s="21" t="s">
        <v>135</v>
      </c>
      <c r="B186" s="29" t="s">
        <v>176</v>
      </c>
      <c r="C186" s="23"/>
      <c r="D186" s="23"/>
      <c r="E186" s="23"/>
      <c r="F186" s="21">
        <v>4</v>
      </c>
      <c r="G186" s="21">
        <v>3</v>
      </c>
      <c r="H186" s="7">
        <v>71138</v>
      </c>
      <c r="I186" s="7">
        <f>F186*G186*H186</f>
        <v>853656</v>
      </c>
      <c r="J186" s="9">
        <v>0</v>
      </c>
      <c r="K186" s="7">
        <f>I186+J186</f>
        <v>853656</v>
      </c>
      <c r="N186">
        <v>2</v>
      </c>
      <c r="O186" t="s">
        <v>134</v>
      </c>
    </row>
    <row r="187" spans="1:15" ht="22" customHeight="1" x14ac:dyDescent="0.35">
      <c r="A187" s="21" t="s">
        <v>137</v>
      </c>
      <c r="B187" s="29" t="s">
        <v>177</v>
      </c>
      <c r="C187" s="23"/>
      <c r="D187" s="23"/>
      <c r="E187" s="23"/>
      <c r="F187" s="21">
        <v>4</v>
      </c>
      <c r="G187" s="21">
        <v>3</v>
      </c>
      <c r="H187" s="7">
        <v>63787</v>
      </c>
      <c r="I187" s="7">
        <f>F187*G187*H187</f>
        <v>765444</v>
      </c>
      <c r="J187" s="9">
        <v>0</v>
      </c>
      <c r="K187" s="7">
        <f>I187+J187</f>
        <v>765444</v>
      </c>
      <c r="L187">
        <v>3</v>
      </c>
      <c r="M187" t="s">
        <v>134</v>
      </c>
    </row>
    <row r="188" spans="1:15" ht="22" customHeight="1" x14ac:dyDescent="0.35">
      <c r="A188" s="21" t="s">
        <v>139</v>
      </c>
      <c r="B188" s="29" t="s">
        <v>178</v>
      </c>
      <c r="C188" s="23"/>
      <c r="D188" s="23"/>
      <c r="E188" s="23"/>
      <c r="F188" s="21">
        <v>4</v>
      </c>
      <c r="G188" s="21">
        <v>3</v>
      </c>
      <c r="H188" s="7">
        <v>67305</v>
      </c>
      <c r="I188" s="7">
        <f>F188*G188*H188</f>
        <v>807660</v>
      </c>
      <c r="J188" s="9">
        <v>0</v>
      </c>
      <c r="K188" s="7">
        <f>I188+J188</f>
        <v>807660</v>
      </c>
      <c r="N188">
        <v>4</v>
      </c>
      <c r="O188" t="s">
        <v>134</v>
      </c>
    </row>
    <row r="190" spans="1:15" x14ac:dyDescent="0.35">
      <c r="A190" t="s">
        <v>141</v>
      </c>
      <c r="C190" t="s">
        <v>120</v>
      </c>
      <c r="D190" s="40">
        <f>SUM(K185:K188)</f>
        <v>3082584</v>
      </c>
      <c r="E190" s="28"/>
    </row>
    <row r="191" spans="1:15" ht="30" customHeight="1" x14ac:dyDescent="0.35">
      <c r="A191" s="22" t="s">
        <v>142</v>
      </c>
      <c r="C191" s="22" t="s">
        <v>120</v>
      </c>
      <c r="D191" s="31" t="s">
        <v>179</v>
      </c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x14ac:dyDescent="0.35">
      <c r="A192" t="s">
        <v>144</v>
      </c>
      <c r="C192" t="s">
        <v>120</v>
      </c>
      <c r="D192" t="s">
        <v>145</v>
      </c>
    </row>
    <row r="193" spans="1:15" x14ac:dyDescent="0.35">
      <c r="D193" t="s">
        <v>146</v>
      </c>
    </row>
    <row r="195" spans="1:15" x14ac:dyDescent="0.35">
      <c r="A195" s="2" t="s">
        <v>147</v>
      </c>
      <c r="D195" s="27" t="s">
        <v>131</v>
      </c>
      <c r="E195" s="28"/>
      <c r="F195" s="2" t="s">
        <v>148</v>
      </c>
      <c r="M195" s="2" t="s">
        <v>149</v>
      </c>
      <c r="O195" s="2" t="s">
        <v>78</v>
      </c>
    </row>
    <row r="197" spans="1:15" x14ac:dyDescent="0.35">
      <c r="A197" t="s">
        <v>150</v>
      </c>
      <c r="M197" t="s">
        <v>151</v>
      </c>
      <c r="O197" s="10">
        <f>D190</f>
        <v>3082584</v>
      </c>
    </row>
    <row r="200" spans="1:15" x14ac:dyDescent="0.35">
      <c r="A200" t="s">
        <v>152</v>
      </c>
    </row>
    <row r="203" spans="1:15" x14ac:dyDescent="0.35">
      <c r="A203" t="s">
        <v>153</v>
      </c>
    </row>
    <row r="206" spans="1:15" x14ac:dyDescent="0.35">
      <c r="A206" t="s">
        <v>154</v>
      </c>
    </row>
    <row r="209" spans="1:15" ht="15.5" x14ac:dyDescent="0.35">
      <c r="B209" s="1" t="s">
        <v>114</v>
      </c>
    </row>
    <row r="210" spans="1:15" ht="15.5" x14ac:dyDescent="0.35">
      <c r="B210" s="1" t="s">
        <v>115</v>
      </c>
    </row>
    <row r="211" spans="1:15" x14ac:dyDescent="0.35">
      <c r="B211" s="18" t="s">
        <v>116</v>
      </c>
    </row>
    <row r="212" spans="1:15" x14ac:dyDescent="0.35">
      <c r="A212" s="19"/>
      <c r="B212" s="20" t="s">
        <v>117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</row>
    <row r="214" spans="1:15" x14ac:dyDescent="0.35">
      <c r="A214" s="37" t="s">
        <v>118</v>
      </c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x14ac:dyDescent="0.35">
      <c r="L215" t="s">
        <v>119</v>
      </c>
      <c r="N215" t="s">
        <v>120</v>
      </c>
      <c r="O215" t="s">
        <v>121</v>
      </c>
    </row>
    <row r="216" spans="1:15" x14ac:dyDescent="0.35">
      <c r="A216" t="s">
        <v>122</v>
      </c>
      <c r="D216" s="2" t="s">
        <v>180</v>
      </c>
    </row>
    <row r="218" spans="1:15" x14ac:dyDescent="0.35">
      <c r="A218" s="3" t="s">
        <v>124</v>
      </c>
      <c r="B218" s="26" t="s">
        <v>125</v>
      </c>
      <c r="C218" s="23"/>
      <c r="D218" s="23"/>
      <c r="E218" s="23"/>
      <c r="F218" s="3" t="s">
        <v>78</v>
      </c>
      <c r="G218" s="3" t="s">
        <v>126</v>
      </c>
      <c r="H218" s="3" t="s">
        <v>127</v>
      </c>
      <c r="I218" s="3" t="s">
        <v>128</v>
      </c>
      <c r="J218" s="3" t="s">
        <v>129</v>
      </c>
      <c r="K218" s="3" t="s">
        <v>130</v>
      </c>
      <c r="L218" s="26" t="s">
        <v>131</v>
      </c>
      <c r="M218" s="23"/>
      <c r="N218" s="23"/>
      <c r="O218" s="23"/>
    </row>
    <row r="219" spans="1:15" ht="22" customHeight="1" x14ac:dyDescent="0.35">
      <c r="A219" s="21" t="s">
        <v>132</v>
      </c>
      <c r="B219" s="29" t="s">
        <v>181</v>
      </c>
      <c r="C219" s="23"/>
      <c r="D219" s="23"/>
      <c r="E219" s="23"/>
      <c r="F219" s="21">
        <v>4</v>
      </c>
      <c r="G219" s="21">
        <v>3</v>
      </c>
      <c r="H219" s="7">
        <v>67305</v>
      </c>
      <c r="I219" s="7">
        <f>F219*G219*H219</f>
        <v>807660</v>
      </c>
      <c r="J219" s="9">
        <v>0</v>
      </c>
      <c r="K219" s="7">
        <f>I219+J219</f>
        <v>807660</v>
      </c>
      <c r="L219">
        <v>1</v>
      </c>
      <c r="M219" t="s">
        <v>134</v>
      </c>
    </row>
    <row r="220" spans="1:15" ht="22" customHeight="1" x14ac:dyDescent="0.35">
      <c r="A220" s="21" t="s">
        <v>135</v>
      </c>
      <c r="B220" s="29" t="s">
        <v>182</v>
      </c>
      <c r="C220" s="23"/>
      <c r="D220" s="23"/>
      <c r="E220" s="23"/>
      <c r="F220" s="21">
        <v>4</v>
      </c>
      <c r="G220" s="21">
        <v>3</v>
      </c>
      <c r="H220" s="7">
        <v>81375</v>
      </c>
      <c r="I220" s="7">
        <f>F220*G220*H220</f>
        <v>976500</v>
      </c>
      <c r="J220" s="9">
        <v>0</v>
      </c>
      <c r="K220" s="7">
        <f>I220+J220</f>
        <v>976500</v>
      </c>
      <c r="N220">
        <v>2</v>
      </c>
      <c r="O220" t="s">
        <v>134</v>
      </c>
    </row>
    <row r="221" spans="1:15" ht="22" customHeight="1" x14ac:dyDescent="0.35">
      <c r="A221" s="21" t="s">
        <v>137</v>
      </c>
      <c r="B221" s="29" t="s">
        <v>183</v>
      </c>
      <c r="C221" s="23"/>
      <c r="D221" s="23"/>
      <c r="E221" s="23"/>
      <c r="F221" s="21">
        <v>4</v>
      </c>
      <c r="G221" s="21">
        <v>3</v>
      </c>
      <c r="H221" s="7">
        <v>65152</v>
      </c>
      <c r="I221" s="7">
        <f>F221*G221*H221</f>
        <v>781824</v>
      </c>
      <c r="J221" s="9">
        <v>0</v>
      </c>
      <c r="K221" s="7">
        <f>I221+J221</f>
        <v>781824</v>
      </c>
      <c r="L221">
        <v>3</v>
      </c>
      <c r="M221" t="s">
        <v>134</v>
      </c>
    </row>
    <row r="223" spans="1:15" x14ac:dyDescent="0.35">
      <c r="A223" t="s">
        <v>141</v>
      </c>
      <c r="C223" t="s">
        <v>120</v>
      </c>
      <c r="D223" s="40">
        <f>SUM(K219:K221)</f>
        <v>2565984</v>
      </c>
      <c r="E223" s="28"/>
    </row>
    <row r="224" spans="1:15" ht="30" customHeight="1" x14ac:dyDescent="0.35">
      <c r="A224" s="22" t="s">
        <v>142</v>
      </c>
      <c r="C224" s="22" t="s">
        <v>120</v>
      </c>
      <c r="D224" s="31" t="s">
        <v>184</v>
      </c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35">
      <c r="A225" t="s">
        <v>144</v>
      </c>
      <c r="C225" t="s">
        <v>120</v>
      </c>
      <c r="D225" t="s">
        <v>145</v>
      </c>
    </row>
    <row r="226" spans="1:15" x14ac:dyDescent="0.35">
      <c r="D226" t="s">
        <v>146</v>
      </c>
    </row>
    <row r="228" spans="1:15" x14ac:dyDescent="0.35">
      <c r="A228" s="2" t="s">
        <v>147</v>
      </c>
      <c r="D228" s="27" t="s">
        <v>131</v>
      </c>
      <c r="E228" s="28"/>
      <c r="F228" s="2" t="s">
        <v>148</v>
      </c>
      <c r="M228" s="2" t="s">
        <v>149</v>
      </c>
      <c r="O228" s="2" t="s">
        <v>78</v>
      </c>
    </row>
    <row r="230" spans="1:15" x14ac:dyDescent="0.35">
      <c r="A230" t="s">
        <v>150</v>
      </c>
      <c r="M230" t="s">
        <v>151</v>
      </c>
      <c r="O230" s="10">
        <f>D223</f>
        <v>2565984</v>
      </c>
    </row>
    <row r="233" spans="1:15" x14ac:dyDescent="0.35">
      <c r="A233" t="s">
        <v>152</v>
      </c>
    </row>
    <row r="236" spans="1:15" x14ac:dyDescent="0.35">
      <c r="A236" t="s">
        <v>153</v>
      </c>
    </row>
    <row r="239" spans="1:15" x14ac:dyDescent="0.35">
      <c r="A239" t="s">
        <v>154</v>
      </c>
    </row>
    <row r="242" spans="1:15" ht="15.5" x14ac:dyDescent="0.35">
      <c r="B242" s="1" t="s">
        <v>114</v>
      </c>
    </row>
    <row r="243" spans="1:15" ht="15.5" x14ac:dyDescent="0.35">
      <c r="B243" s="1" t="s">
        <v>115</v>
      </c>
    </row>
    <row r="244" spans="1:15" x14ac:dyDescent="0.35">
      <c r="B244" s="18" t="s">
        <v>116</v>
      </c>
    </row>
    <row r="245" spans="1:15" x14ac:dyDescent="0.35">
      <c r="A245" s="19"/>
      <c r="B245" s="20" t="s">
        <v>117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</row>
    <row r="247" spans="1:15" x14ac:dyDescent="0.35">
      <c r="A247" s="37" t="s">
        <v>118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x14ac:dyDescent="0.35">
      <c r="L248" t="s">
        <v>119</v>
      </c>
      <c r="N248" t="s">
        <v>120</v>
      </c>
      <c r="O248" t="s">
        <v>121</v>
      </c>
    </row>
    <row r="249" spans="1:15" x14ac:dyDescent="0.35">
      <c r="A249" t="s">
        <v>122</v>
      </c>
      <c r="D249" s="2" t="s">
        <v>185</v>
      </c>
    </row>
    <row r="251" spans="1:15" x14ac:dyDescent="0.35">
      <c r="A251" s="3" t="s">
        <v>124</v>
      </c>
      <c r="B251" s="26" t="s">
        <v>125</v>
      </c>
      <c r="C251" s="23"/>
      <c r="D251" s="23"/>
      <c r="E251" s="23"/>
      <c r="F251" s="3" t="s">
        <v>78</v>
      </c>
      <c r="G251" s="3" t="s">
        <v>126</v>
      </c>
      <c r="H251" s="3" t="s">
        <v>127</v>
      </c>
      <c r="I251" s="3" t="s">
        <v>128</v>
      </c>
      <c r="J251" s="3" t="s">
        <v>129</v>
      </c>
      <c r="K251" s="3" t="s">
        <v>130</v>
      </c>
      <c r="L251" s="26" t="s">
        <v>131</v>
      </c>
      <c r="M251" s="23"/>
      <c r="N251" s="23"/>
      <c r="O251" s="23"/>
    </row>
    <row r="252" spans="1:15" ht="22" customHeight="1" x14ac:dyDescent="0.35">
      <c r="A252" s="21" t="s">
        <v>132</v>
      </c>
      <c r="B252" s="29" t="s">
        <v>186</v>
      </c>
      <c r="C252" s="23"/>
      <c r="D252" s="23"/>
      <c r="E252" s="23"/>
      <c r="F252" s="21">
        <v>4</v>
      </c>
      <c r="G252" s="21">
        <v>3</v>
      </c>
      <c r="H252" s="7">
        <v>74287</v>
      </c>
      <c r="I252" s="7">
        <f>F252*G252*H252</f>
        <v>891444</v>
      </c>
      <c r="J252" s="9">
        <v>0</v>
      </c>
      <c r="K252" s="7">
        <f>I252+J252</f>
        <v>891444</v>
      </c>
      <c r="L252">
        <v>1</v>
      </c>
      <c r="M252" t="s">
        <v>134</v>
      </c>
    </row>
    <row r="253" spans="1:15" ht="22" customHeight="1" x14ac:dyDescent="0.35">
      <c r="A253" s="21" t="s">
        <v>135</v>
      </c>
      <c r="B253" s="29" t="s">
        <v>113</v>
      </c>
      <c r="C253" s="23"/>
      <c r="D253" s="23"/>
      <c r="E253" s="23"/>
      <c r="F253" s="21">
        <v>4</v>
      </c>
      <c r="G253" s="21">
        <v>3</v>
      </c>
      <c r="H253" s="7">
        <v>81375</v>
      </c>
      <c r="I253" s="7">
        <f>F253*G253*H253</f>
        <v>976500</v>
      </c>
      <c r="J253" s="9">
        <v>0</v>
      </c>
      <c r="K253" s="7">
        <f>I253+J253</f>
        <v>976500</v>
      </c>
      <c r="N253">
        <v>2</v>
      </c>
      <c r="O253" t="s">
        <v>134</v>
      </c>
    </row>
    <row r="254" spans="1:15" ht="22" customHeight="1" x14ac:dyDescent="0.35">
      <c r="A254" s="21" t="s">
        <v>137</v>
      </c>
      <c r="B254" s="29" t="s">
        <v>187</v>
      </c>
      <c r="C254" s="23"/>
      <c r="D254" s="23"/>
      <c r="E254" s="23"/>
      <c r="F254" s="21">
        <v>4</v>
      </c>
      <c r="G254" s="21">
        <v>3</v>
      </c>
      <c r="H254" s="7">
        <v>60000</v>
      </c>
      <c r="I254" s="7">
        <f>F254*G254*H254</f>
        <v>720000</v>
      </c>
      <c r="J254" s="9">
        <v>0</v>
      </c>
      <c r="K254" s="7">
        <f>I254+J254</f>
        <v>720000</v>
      </c>
      <c r="L254">
        <v>3</v>
      </c>
      <c r="M254" t="s">
        <v>134</v>
      </c>
    </row>
    <row r="256" spans="1:15" x14ac:dyDescent="0.35">
      <c r="A256" t="s">
        <v>141</v>
      </c>
      <c r="C256" t="s">
        <v>120</v>
      </c>
      <c r="D256" s="40">
        <f>SUM(K252:K254)</f>
        <v>2587944</v>
      </c>
      <c r="E256" s="28"/>
    </row>
    <row r="257" spans="1:15" ht="30" customHeight="1" x14ac:dyDescent="0.35">
      <c r="A257" s="22" t="s">
        <v>142</v>
      </c>
      <c r="C257" s="22" t="s">
        <v>120</v>
      </c>
      <c r="D257" s="31" t="s">
        <v>188</v>
      </c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x14ac:dyDescent="0.35">
      <c r="A258" t="s">
        <v>144</v>
      </c>
      <c r="C258" t="s">
        <v>120</v>
      </c>
      <c r="D258" t="s">
        <v>145</v>
      </c>
    </row>
    <row r="259" spans="1:15" x14ac:dyDescent="0.35">
      <c r="D259" t="s">
        <v>146</v>
      </c>
    </row>
    <row r="261" spans="1:15" x14ac:dyDescent="0.35">
      <c r="A261" s="2" t="s">
        <v>147</v>
      </c>
      <c r="D261" s="27" t="s">
        <v>131</v>
      </c>
      <c r="E261" s="28"/>
      <c r="F261" s="2" t="s">
        <v>148</v>
      </c>
      <c r="M261" s="2" t="s">
        <v>149</v>
      </c>
      <c r="O261" s="2" t="s">
        <v>78</v>
      </c>
    </row>
    <row r="263" spans="1:15" x14ac:dyDescent="0.35">
      <c r="A263" t="s">
        <v>150</v>
      </c>
      <c r="M263" t="s">
        <v>151</v>
      </c>
      <c r="O263" s="10">
        <f>D256</f>
        <v>2587944</v>
      </c>
    </row>
    <row r="266" spans="1:15" x14ac:dyDescent="0.35">
      <c r="A266" t="s">
        <v>152</v>
      </c>
    </row>
    <row r="269" spans="1:15" x14ac:dyDescent="0.35">
      <c r="A269" t="s">
        <v>153</v>
      </c>
    </row>
    <row r="272" spans="1:15" x14ac:dyDescent="0.35">
      <c r="A272" t="s">
        <v>154</v>
      </c>
    </row>
    <row r="275" spans="1:15" ht="15.5" x14ac:dyDescent="0.35">
      <c r="B275" s="1" t="s">
        <v>114</v>
      </c>
    </row>
    <row r="276" spans="1:15" ht="15.5" x14ac:dyDescent="0.35">
      <c r="B276" s="1" t="s">
        <v>115</v>
      </c>
    </row>
    <row r="277" spans="1:15" x14ac:dyDescent="0.35">
      <c r="B277" s="18" t="s">
        <v>116</v>
      </c>
    </row>
    <row r="278" spans="1:15" x14ac:dyDescent="0.35">
      <c r="A278" s="19"/>
      <c r="B278" s="20" t="s">
        <v>117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</row>
    <row r="280" spans="1:15" x14ac:dyDescent="0.35">
      <c r="A280" s="37" t="s">
        <v>118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x14ac:dyDescent="0.35">
      <c r="L281" t="s">
        <v>119</v>
      </c>
      <c r="N281" t="s">
        <v>120</v>
      </c>
      <c r="O281" t="s">
        <v>121</v>
      </c>
    </row>
    <row r="282" spans="1:15" x14ac:dyDescent="0.35">
      <c r="A282" t="s">
        <v>122</v>
      </c>
      <c r="D282" s="2" t="s">
        <v>189</v>
      </c>
    </row>
    <row r="284" spans="1:15" x14ac:dyDescent="0.35">
      <c r="A284" s="3" t="s">
        <v>124</v>
      </c>
      <c r="B284" s="26" t="s">
        <v>125</v>
      </c>
      <c r="C284" s="23"/>
      <c r="D284" s="23"/>
      <c r="E284" s="23"/>
      <c r="F284" s="3" t="s">
        <v>78</v>
      </c>
      <c r="G284" s="3" t="s">
        <v>126</v>
      </c>
      <c r="H284" s="3" t="s">
        <v>127</v>
      </c>
      <c r="I284" s="3" t="s">
        <v>128</v>
      </c>
      <c r="J284" s="3" t="s">
        <v>129</v>
      </c>
      <c r="K284" s="3" t="s">
        <v>130</v>
      </c>
      <c r="L284" s="26" t="s">
        <v>131</v>
      </c>
      <c r="M284" s="23"/>
      <c r="N284" s="23"/>
      <c r="O284" s="23"/>
    </row>
    <row r="285" spans="1:15" ht="22" customHeight="1" x14ac:dyDescent="0.35">
      <c r="A285" s="21" t="s">
        <v>132</v>
      </c>
      <c r="B285" s="29" t="s">
        <v>190</v>
      </c>
      <c r="C285" s="23"/>
      <c r="D285" s="23"/>
      <c r="E285" s="23"/>
      <c r="F285" s="21">
        <v>4</v>
      </c>
      <c r="G285" s="21">
        <v>3</v>
      </c>
      <c r="H285" s="7">
        <v>71768</v>
      </c>
      <c r="I285" s="7">
        <f>F285*G285*H285</f>
        <v>861216</v>
      </c>
      <c r="J285" s="9">
        <v>0</v>
      </c>
      <c r="K285" s="7">
        <f>I285+J285</f>
        <v>861216</v>
      </c>
      <c r="L285">
        <v>1</v>
      </c>
      <c r="M285" t="s">
        <v>134</v>
      </c>
    </row>
    <row r="286" spans="1:15" ht="22" customHeight="1" x14ac:dyDescent="0.35">
      <c r="A286" s="21" t="s">
        <v>135</v>
      </c>
      <c r="B286" s="29" t="s">
        <v>191</v>
      </c>
      <c r="C286" s="23"/>
      <c r="D286" s="23"/>
      <c r="E286" s="23"/>
      <c r="F286" s="21">
        <v>4</v>
      </c>
      <c r="G286" s="21">
        <v>3</v>
      </c>
      <c r="H286" s="7">
        <v>84000</v>
      </c>
      <c r="I286" s="7">
        <f>F286*G286*H286</f>
        <v>1008000</v>
      </c>
      <c r="J286" s="9">
        <v>0</v>
      </c>
      <c r="K286" s="7">
        <f>I286+J286</f>
        <v>1008000</v>
      </c>
      <c r="N286">
        <v>2</v>
      </c>
      <c r="O286" t="s">
        <v>134</v>
      </c>
    </row>
    <row r="287" spans="1:15" ht="22" customHeight="1" x14ac:dyDescent="0.35">
      <c r="A287" s="21" t="s">
        <v>137</v>
      </c>
      <c r="B287" s="29" t="s">
        <v>75</v>
      </c>
      <c r="C287" s="23"/>
      <c r="D287" s="23"/>
      <c r="E287" s="23"/>
      <c r="F287" s="21">
        <v>4</v>
      </c>
      <c r="G287" s="21">
        <v>3</v>
      </c>
      <c r="H287" s="7">
        <v>64418</v>
      </c>
      <c r="I287" s="7">
        <f>F287*G287*H287</f>
        <v>773016</v>
      </c>
      <c r="J287" s="9">
        <v>37800</v>
      </c>
      <c r="K287" s="7">
        <f>I287+J287</f>
        <v>810816</v>
      </c>
      <c r="L287">
        <v>3</v>
      </c>
      <c r="M287" t="s">
        <v>134</v>
      </c>
    </row>
    <row r="288" spans="1:15" ht="22" customHeight="1" x14ac:dyDescent="0.35">
      <c r="A288" s="21" t="s">
        <v>139</v>
      </c>
      <c r="B288" s="29" t="s">
        <v>192</v>
      </c>
      <c r="C288" s="23"/>
      <c r="D288" s="23"/>
      <c r="E288" s="23"/>
      <c r="F288" s="21">
        <v>4</v>
      </c>
      <c r="G288" s="21">
        <v>3</v>
      </c>
      <c r="H288" s="7">
        <v>53812</v>
      </c>
      <c r="I288" s="7">
        <f>F288*G288*H288</f>
        <v>645744</v>
      </c>
      <c r="J288" s="9">
        <v>0</v>
      </c>
      <c r="K288" s="7">
        <f>I288+J288</f>
        <v>645744</v>
      </c>
      <c r="N288">
        <v>4</v>
      </c>
      <c r="O288" t="s">
        <v>134</v>
      </c>
    </row>
    <row r="289" spans="1:15" ht="24" customHeight="1" x14ac:dyDescent="0.35">
      <c r="A289" s="38" t="s">
        <v>165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x14ac:dyDescent="0.35">
      <c r="A290" t="s">
        <v>141</v>
      </c>
      <c r="C290" t="s">
        <v>120</v>
      </c>
      <c r="D290" s="40">
        <f>SUM(K285:K288)</f>
        <v>3325776</v>
      </c>
      <c r="E290" s="28"/>
    </row>
    <row r="291" spans="1:15" ht="30" customHeight="1" x14ac:dyDescent="0.35">
      <c r="A291" s="22" t="s">
        <v>142</v>
      </c>
      <c r="C291" s="22" t="s">
        <v>120</v>
      </c>
      <c r="D291" s="31" t="s">
        <v>193</v>
      </c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x14ac:dyDescent="0.35">
      <c r="A292" t="s">
        <v>144</v>
      </c>
      <c r="C292" t="s">
        <v>120</v>
      </c>
      <c r="D292" t="s">
        <v>145</v>
      </c>
    </row>
    <row r="293" spans="1:15" x14ac:dyDescent="0.35">
      <c r="D293" t="s">
        <v>146</v>
      </c>
    </row>
    <row r="294" spans="1:15" x14ac:dyDescent="0.35">
      <c r="D294" t="s">
        <v>167</v>
      </c>
    </row>
    <row r="295" spans="1:15" x14ac:dyDescent="0.35">
      <c r="A295" s="2" t="s">
        <v>147</v>
      </c>
      <c r="D295" s="27" t="s">
        <v>131</v>
      </c>
      <c r="E295" s="28"/>
      <c r="F295" s="2" t="s">
        <v>148</v>
      </c>
      <c r="M295" s="2" t="s">
        <v>149</v>
      </c>
      <c r="O295" s="2" t="s">
        <v>78</v>
      </c>
    </row>
    <row r="297" spans="1:15" x14ac:dyDescent="0.35">
      <c r="A297" t="s">
        <v>150</v>
      </c>
      <c r="M297" t="s">
        <v>151</v>
      </c>
      <c r="O297" s="10">
        <f>D290</f>
        <v>3325776</v>
      </c>
    </row>
    <row r="300" spans="1:15" x14ac:dyDescent="0.35">
      <c r="A300" t="s">
        <v>152</v>
      </c>
    </row>
    <row r="303" spans="1:15" x14ac:dyDescent="0.35">
      <c r="A303" t="s">
        <v>153</v>
      </c>
    </row>
    <row r="306" spans="1:15" x14ac:dyDescent="0.35">
      <c r="A306" t="s">
        <v>154</v>
      </c>
    </row>
    <row r="309" spans="1:15" ht="15.5" x14ac:dyDescent="0.35">
      <c r="B309" s="1" t="s">
        <v>114</v>
      </c>
    </row>
    <row r="310" spans="1:15" ht="15.5" x14ac:dyDescent="0.35">
      <c r="B310" s="1" t="s">
        <v>115</v>
      </c>
    </row>
    <row r="311" spans="1:15" x14ac:dyDescent="0.35">
      <c r="B311" s="18" t="s">
        <v>116</v>
      </c>
    </row>
    <row r="312" spans="1:15" x14ac:dyDescent="0.35">
      <c r="A312" s="19"/>
      <c r="B312" s="20" t="s">
        <v>117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</row>
    <row r="314" spans="1:15" x14ac:dyDescent="0.35">
      <c r="A314" s="37" t="s">
        <v>118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x14ac:dyDescent="0.35">
      <c r="L315" t="s">
        <v>119</v>
      </c>
      <c r="N315" t="s">
        <v>120</v>
      </c>
      <c r="O315" t="s">
        <v>121</v>
      </c>
    </row>
    <row r="316" spans="1:15" x14ac:dyDescent="0.35">
      <c r="A316" t="s">
        <v>122</v>
      </c>
      <c r="D316" s="2" t="s">
        <v>194</v>
      </c>
    </row>
    <row r="318" spans="1:15" x14ac:dyDescent="0.35">
      <c r="A318" s="3" t="s">
        <v>124</v>
      </c>
      <c r="B318" s="26" t="s">
        <v>125</v>
      </c>
      <c r="C318" s="23"/>
      <c r="D318" s="23"/>
      <c r="E318" s="23"/>
      <c r="F318" s="3" t="s">
        <v>78</v>
      </c>
      <c r="G318" s="3" t="s">
        <v>126</v>
      </c>
      <c r="H318" s="3" t="s">
        <v>127</v>
      </c>
      <c r="I318" s="3" t="s">
        <v>128</v>
      </c>
      <c r="J318" s="3" t="s">
        <v>129</v>
      </c>
      <c r="K318" s="3" t="s">
        <v>130</v>
      </c>
      <c r="L318" s="26" t="s">
        <v>131</v>
      </c>
      <c r="M318" s="23"/>
      <c r="N318" s="23"/>
      <c r="O318" s="23"/>
    </row>
    <row r="319" spans="1:15" ht="22" customHeight="1" x14ac:dyDescent="0.35">
      <c r="A319" s="21" t="s">
        <v>132</v>
      </c>
      <c r="B319" s="29" t="s">
        <v>195</v>
      </c>
      <c r="C319" s="23"/>
      <c r="D319" s="23"/>
      <c r="E319" s="23"/>
      <c r="F319" s="21">
        <v>4</v>
      </c>
      <c r="G319" s="21">
        <v>3</v>
      </c>
      <c r="H319" s="7">
        <v>69825</v>
      </c>
      <c r="I319" s="7">
        <f>F319*G319*H319</f>
        <v>837900</v>
      </c>
      <c r="J319" s="9">
        <v>0</v>
      </c>
      <c r="K319" s="7">
        <f>I319+J319</f>
        <v>837900</v>
      </c>
      <c r="L319">
        <v>1</v>
      </c>
      <c r="M319" t="s">
        <v>134</v>
      </c>
    </row>
    <row r="320" spans="1:15" ht="22" customHeight="1" x14ac:dyDescent="0.35">
      <c r="A320" s="21" t="s">
        <v>135</v>
      </c>
      <c r="B320" s="29" t="s">
        <v>196</v>
      </c>
      <c r="C320" s="23"/>
      <c r="D320" s="23"/>
      <c r="E320" s="23"/>
      <c r="F320" s="21">
        <v>4</v>
      </c>
      <c r="G320" s="21">
        <v>3</v>
      </c>
      <c r="H320" s="7">
        <v>71138</v>
      </c>
      <c r="I320" s="7">
        <f>F320*G320*H320</f>
        <v>853656</v>
      </c>
      <c r="J320" s="9">
        <v>0</v>
      </c>
      <c r="K320" s="7">
        <f>I320+J320</f>
        <v>853656</v>
      </c>
      <c r="N320">
        <v>2</v>
      </c>
      <c r="O320" t="s">
        <v>134</v>
      </c>
    </row>
    <row r="321" spans="1:15" ht="22" customHeight="1" x14ac:dyDescent="0.35">
      <c r="A321" s="21" t="s">
        <v>137</v>
      </c>
      <c r="B321" s="29" t="s">
        <v>197</v>
      </c>
      <c r="C321" s="23"/>
      <c r="D321" s="23"/>
      <c r="E321" s="23"/>
      <c r="F321" s="21">
        <v>4</v>
      </c>
      <c r="G321" s="21">
        <v>3</v>
      </c>
      <c r="H321" s="7">
        <v>63787</v>
      </c>
      <c r="I321" s="7">
        <f>F321*G321*H321</f>
        <v>765444</v>
      </c>
      <c r="J321" s="9">
        <v>0</v>
      </c>
      <c r="K321" s="7">
        <f>I321+J321</f>
        <v>765444</v>
      </c>
      <c r="L321">
        <v>3</v>
      </c>
      <c r="M321" t="s">
        <v>134</v>
      </c>
    </row>
    <row r="322" spans="1:15" ht="22" customHeight="1" x14ac:dyDescent="0.35">
      <c r="A322" s="21" t="s">
        <v>139</v>
      </c>
      <c r="B322" s="29" t="s">
        <v>198</v>
      </c>
      <c r="C322" s="23"/>
      <c r="D322" s="23"/>
      <c r="E322" s="23"/>
      <c r="F322" s="21">
        <v>4</v>
      </c>
      <c r="G322" s="21">
        <v>3</v>
      </c>
      <c r="H322" s="7">
        <v>50662</v>
      </c>
      <c r="I322" s="7">
        <f>F322*G322*H322</f>
        <v>607944</v>
      </c>
      <c r="J322" s="9">
        <v>0</v>
      </c>
      <c r="K322" s="7">
        <f>I322+J322</f>
        <v>607944</v>
      </c>
      <c r="N322">
        <v>4</v>
      </c>
      <c r="O322" t="s">
        <v>134</v>
      </c>
    </row>
    <row r="324" spans="1:15" x14ac:dyDescent="0.35">
      <c r="A324" t="s">
        <v>141</v>
      </c>
      <c r="C324" t="s">
        <v>120</v>
      </c>
      <c r="D324" s="40">
        <f>SUM(K319:K322)</f>
        <v>3064944</v>
      </c>
      <c r="E324" s="28"/>
    </row>
    <row r="325" spans="1:15" ht="30" customHeight="1" x14ac:dyDescent="0.35">
      <c r="A325" s="22" t="s">
        <v>142</v>
      </c>
      <c r="C325" s="22" t="s">
        <v>120</v>
      </c>
      <c r="D325" s="31" t="s">
        <v>199</v>
      </c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1:15" x14ac:dyDescent="0.35">
      <c r="A326" t="s">
        <v>144</v>
      </c>
      <c r="C326" t="s">
        <v>120</v>
      </c>
      <c r="D326" t="s">
        <v>145</v>
      </c>
    </row>
    <row r="327" spans="1:15" x14ac:dyDescent="0.35">
      <c r="D327" t="s">
        <v>146</v>
      </c>
    </row>
    <row r="329" spans="1:15" x14ac:dyDescent="0.35">
      <c r="A329" s="2" t="s">
        <v>147</v>
      </c>
      <c r="D329" s="27" t="s">
        <v>131</v>
      </c>
      <c r="E329" s="28"/>
      <c r="F329" s="2" t="s">
        <v>148</v>
      </c>
      <c r="M329" s="2" t="s">
        <v>149</v>
      </c>
      <c r="O329" s="2" t="s">
        <v>78</v>
      </c>
    </row>
    <row r="331" spans="1:15" x14ac:dyDescent="0.35">
      <c r="A331" t="s">
        <v>150</v>
      </c>
      <c r="M331" t="s">
        <v>151</v>
      </c>
      <c r="O331" s="10">
        <f>D324</f>
        <v>3064944</v>
      </c>
    </row>
    <row r="334" spans="1:15" x14ac:dyDescent="0.35">
      <c r="A334" t="s">
        <v>152</v>
      </c>
    </row>
    <row r="337" spans="1:15" x14ac:dyDescent="0.35">
      <c r="A337" t="s">
        <v>153</v>
      </c>
    </row>
    <row r="340" spans="1:15" x14ac:dyDescent="0.35">
      <c r="A340" t="s">
        <v>154</v>
      </c>
    </row>
    <row r="343" spans="1:15" ht="15.5" x14ac:dyDescent="0.35">
      <c r="B343" s="1" t="s">
        <v>114</v>
      </c>
    </row>
    <row r="344" spans="1:15" ht="15.5" x14ac:dyDescent="0.35">
      <c r="B344" s="1" t="s">
        <v>115</v>
      </c>
    </row>
    <row r="345" spans="1:15" x14ac:dyDescent="0.35">
      <c r="B345" s="18" t="s">
        <v>116</v>
      </c>
    </row>
    <row r="346" spans="1:15" x14ac:dyDescent="0.35">
      <c r="A346" s="19"/>
      <c r="B346" s="20" t="s">
        <v>117</v>
      </c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</row>
    <row r="348" spans="1:15" x14ac:dyDescent="0.35">
      <c r="A348" s="37" t="s">
        <v>118</v>
      </c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 spans="1:15" x14ac:dyDescent="0.35">
      <c r="L349" t="s">
        <v>119</v>
      </c>
      <c r="N349" t="s">
        <v>120</v>
      </c>
      <c r="O349" t="s">
        <v>121</v>
      </c>
    </row>
    <row r="350" spans="1:15" x14ac:dyDescent="0.35">
      <c r="A350" t="s">
        <v>122</v>
      </c>
      <c r="D350" s="2" t="s">
        <v>200</v>
      </c>
    </row>
    <row r="352" spans="1:15" x14ac:dyDescent="0.35">
      <c r="A352" s="3" t="s">
        <v>124</v>
      </c>
      <c r="B352" s="26" t="s">
        <v>125</v>
      </c>
      <c r="C352" s="23"/>
      <c r="D352" s="23"/>
      <c r="E352" s="23"/>
      <c r="F352" s="3" t="s">
        <v>78</v>
      </c>
      <c r="G352" s="3" t="s">
        <v>126</v>
      </c>
      <c r="H352" s="3" t="s">
        <v>127</v>
      </c>
      <c r="I352" s="3" t="s">
        <v>128</v>
      </c>
      <c r="J352" s="3" t="s">
        <v>129</v>
      </c>
      <c r="K352" s="3" t="s">
        <v>130</v>
      </c>
      <c r="L352" s="26" t="s">
        <v>131</v>
      </c>
      <c r="M352" s="23"/>
      <c r="N352" s="23"/>
      <c r="O352" s="23"/>
    </row>
    <row r="353" spans="1:15" ht="22" customHeight="1" x14ac:dyDescent="0.35">
      <c r="A353" s="21" t="s">
        <v>132</v>
      </c>
      <c r="B353" s="29" t="s">
        <v>62</v>
      </c>
      <c r="C353" s="23"/>
      <c r="D353" s="23"/>
      <c r="E353" s="23"/>
      <c r="F353" s="21">
        <v>4</v>
      </c>
      <c r="G353" s="21">
        <v>3</v>
      </c>
      <c r="H353" s="7">
        <v>74287</v>
      </c>
      <c r="I353" s="7">
        <f>F353*G353*H353</f>
        <v>891444</v>
      </c>
      <c r="J353" s="9">
        <v>75576</v>
      </c>
      <c r="K353" s="7">
        <f>I353+J353</f>
        <v>967020</v>
      </c>
      <c r="L353">
        <v>1</v>
      </c>
      <c r="M353" t="s">
        <v>134</v>
      </c>
    </row>
    <row r="354" spans="1:15" ht="22" customHeight="1" x14ac:dyDescent="0.35">
      <c r="A354" s="21" t="s">
        <v>135</v>
      </c>
      <c r="B354" s="29" t="s">
        <v>65</v>
      </c>
      <c r="C354" s="23"/>
      <c r="D354" s="23"/>
      <c r="E354" s="23"/>
      <c r="F354" s="21">
        <v>4</v>
      </c>
      <c r="G354" s="21">
        <v>3</v>
      </c>
      <c r="H354" s="7">
        <v>45000</v>
      </c>
      <c r="I354" s="7">
        <f>F354*G354*H354</f>
        <v>540000</v>
      </c>
      <c r="J354" s="9">
        <v>-93168</v>
      </c>
      <c r="K354" s="7">
        <f>I354+J354</f>
        <v>446832</v>
      </c>
      <c r="N354">
        <v>2</v>
      </c>
      <c r="O354" t="s">
        <v>134</v>
      </c>
    </row>
    <row r="355" spans="1:15" ht="22" customHeight="1" x14ac:dyDescent="0.35">
      <c r="A355" s="21" t="s">
        <v>137</v>
      </c>
      <c r="B355" s="29" t="s">
        <v>201</v>
      </c>
      <c r="C355" s="23"/>
      <c r="D355" s="23"/>
      <c r="E355" s="23"/>
      <c r="F355" s="21">
        <v>4</v>
      </c>
      <c r="G355" s="21">
        <v>3</v>
      </c>
      <c r="H355" s="7">
        <v>53812</v>
      </c>
      <c r="I355" s="7">
        <f>F355*G355*H355</f>
        <v>645744</v>
      </c>
      <c r="J355" s="9">
        <v>0</v>
      </c>
      <c r="K355" s="7">
        <f>I355+J355</f>
        <v>645744</v>
      </c>
      <c r="L355">
        <v>3</v>
      </c>
      <c r="M355" t="s">
        <v>134</v>
      </c>
    </row>
    <row r="356" spans="1:15" ht="22" customHeight="1" x14ac:dyDescent="0.35">
      <c r="A356" s="21" t="s">
        <v>139</v>
      </c>
      <c r="B356" s="29" t="s">
        <v>71</v>
      </c>
      <c r="C356" s="23"/>
      <c r="D356" s="23"/>
      <c r="E356" s="23"/>
      <c r="F356" s="21">
        <v>4</v>
      </c>
      <c r="G356" s="21">
        <v>3</v>
      </c>
      <c r="H356" s="7">
        <v>78225</v>
      </c>
      <c r="I356" s="7">
        <f>F356*G356*H356</f>
        <v>938700</v>
      </c>
      <c r="J356" s="9">
        <v>346512</v>
      </c>
      <c r="K356" s="7">
        <f>I356+J356</f>
        <v>1285212</v>
      </c>
      <c r="N356">
        <v>4</v>
      </c>
      <c r="O356" t="s">
        <v>134</v>
      </c>
    </row>
    <row r="357" spans="1:15" ht="22" customHeight="1" x14ac:dyDescent="0.35">
      <c r="A357" s="21" t="s">
        <v>202</v>
      </c>
      <c r="B357" s="29" t="s">
        <v>203</v>
      </c>
      <c r="C357" s="23"/>
      <c r="D357" s="23"/>
      <c r="E357" s="23"/>
      <c r="F357" s="21">
        <v>4</v>
      </c>
      <c r="G357" s="21">
        <v>3</v>
      </c>
      <c r="H357" s="7">
        <v>59115</v>
      </c>
      <c r="I357" s="7">
        <f>F357*G357*H357</f>
        <v>709380</v>
      </c>
      <c r="J357" s="9">
        <v>0</v>
      </c>
      <c r="K357" s="7">
        <f>I357+J357</f>
        <v>709380</v>
      </c>
      <c r="L357">
        <v>5</v>
      </c>
      <c r="M357" t="s">
        <v>134</v>
      </c>
    </row>
    <row r="358" spans="1:15" ht="24" customHeight="1" x14ac:dyDescent="0.35">
      <c r="A358" s="38" t="s">
        <v>165</v>
      </c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 spans="1:15" x14ac:dyDescent="0.35">
      <c r="A359" t="s">
        <v>141</v>
      </c>
      <c r="C359" t="s">
        <v>120</v>
      </c>
      <c r="D359" s="40">
        <f>SUM(K353:K357)</f>
        <v>4054188</v>
      </c>
      <c r="E359" s="28"/>
    </row>
    <row r="360" spans="1:15" ht="30" customHeight="1" x14ac:dyDescent="0.35">
      <c r="A360" s="22" t="s">
        <v>142</v>
      </c>
      <c r="C360" s="22" t="s">
        <v>120</v>
      </c>
      <c r="D360" s="31" t="s">
        <v>204</v>
      </c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 spans="1:15" x14ac:dyDescent="0.35">
      <c r="A361" t="s">
        <v>144</v>
      </c>
      <c r="C361" t="s">
        <v>120</v>
      </c>
      <c r="D361" t="s">
        <v>145</v>
      </c>
    </row>
    <row r="362" spans="1:15" x14ac:dyDescent="0.35">
      <c r="D362" t="s">
        <v>146</v>
      </c>
    </row>
    <row r="363" spans="1:15" x14ac:dyDescent="0.35">
      <c r="D363" t="s">
        <v>167</v>
      </c>
    </row>
    <row r="364" spans="1:15" x14ac:dyDescent="0.35">
      <c r="A364" s="2" t="s">
        <v>147</v>
      </c>
      <c r="D364" s="27" t="s">
        <v>131</v>
      </c>
      <c r="E364" s="28"/>
      <c r="F364" s="2" t="s">
        <v>148</v>
      </c>
      <c r="M364" s="2" t="s">
        <v>149</v>
      </c>
      <c r="O364" s="2" t="s">
        <v>78</v>
      </c>
    </row>
    <row r="366" spans="1:15" x14ac:dyDescent="0.35">
      <c r="A366" t="s">
        <v>150</v>
      </c>
      <c r="M366" t="s">
        <v>151</v>
      </c>
      <c r="O366" s="10">
        <f>D359</f>
        <v>4054188</v>
      </c>
    </row>
    <row r="369" spans="1:15" x14ac:dyDescent="0.35">
      <c r="A369" t="s">
        <v>152</v>
      </c>
    </row>
    <row r="372" spans="1:15" x14ac:dyDescent="0.35">
      <c r="A372" t="s">
        <v>153</v>
      </c>
    </row>
    <row r="375" spans="1:15" x14ac:dyDescent="0.35">
      <c r="A375" t="s">
        <v>154</v>
      </c>
    </row>
    <row r="378" spans="1:15" ht="15.5" x14ac:dyDescent="0.35">
      <c r="B378" s="1" t="s">
        <v>114</v>
      </c>
    </row>
    <row r="379" spans="1:15" ht="15.5" x14ac:dyDescent="0.35">
      <c r="B379" s="1" t="s">
        <v>115</v>
      </c>
    </row>
    <row r="380" spans="1:15" x14ac:dyDescent="0.35">
      <c r="B380" s="18" t="s">
        <v>116</v>
      </c>
    </row>
    <row r="381" spans="1:15" x14ac:dyDescent="0.35">
      <c r="A381" s="19"/>
      <c r="B381" s="20" t="s">
        <v>117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</row>
    <row r="383" spans="1:15" x14ac:dyDescent="0.35">
      <c r="A383" s="37" t="s">
        <v>118</v>
      </c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 spans="1:15" x14ac:dyDescent="0.35">
      <c r="L384" t="s">
        <v>119</v>
      </c>
      <c r="N384" t="s">
        <v>120</v>
      </c>
      <c r="O384" t="s">
        <v>121</v>
      </c>
    </row>
    <row r="385" spans="1:15" x14ac:dyDescent="0.35">
      <c r="A385" t="s">
        <v>122</v>
      </c>
      <c r="D385" s="2" t="s">
        <v>205</v>
      </c>
    </row>
    <row r="387" spans="1:15" x14ac:dyDescent="0.35">
      <c r="A387" s="3" t="s">
        <v>124</v>
      </c>
      <c r="B387" s="26" t="s">
        <v>125</v>
      </c>
      <c r="C387" s="23"/>
      <c r="D387" s="23"/>
      <c r="E387" s="23"/>
      <c r="F387" s="3" t="s">
        <v>78</v>
      </c>
      <c r="G387" s="3" t="s">
        <v>126</v>
      </c>
      <c r="H387" s="3" t="s">
        <v>127</v>
      </c>
      <c r="I387" s="3" t="s">
        <v>128</v>
      </c>
      <c r="J387" s="3" t="s">
        <v>129</v>
      </c>
      <c r="K387" s="3" t="s">
        <v>130</v>
      </c>
      <c r="L387" s="26" t="s">
        <v>131</v>
      </c>
      <c r="M387" s="23"/>
      <c r="N387" s="23"/>
      <c r="O387" s="23"/>
    </row>
    <row r="388" spans="1:15" ht="22" customHeight="1" x14ac:dyDescent="0.35">
      <c r="A388" s="21" t="s">
        <v>132</v>
      </c>
      <c r="B388" s="29" t="s">
        <v>206</v>
      </c>
      <c r="C388" s="23"/>
      <c r="D388" s="23"/>
      <c r="E388" s="23"/>
      <c r="F388" s="21">
        <v>4</v>
      </c>
      <c r="G388" s="21">
        <v>3</v>
      </c>
      <c r="H388" s="7">
        <v>74287</v>
      </c>
      <c r="I388" s="7">
        <f>F388*G388*H388</f>
        <v>891444</v>
      </c>
      <c r="J388" s="9">
        <v>0</v>
      </c>
      <c r="K388" s="7">
        <f>I388+J388</f>
        <v>891444</v>
      </c>
      <c r="L388">
        <v>1</v>
      </c>
      <c r="M388" t="s">
        <v>134</v>
      </c>
    </row>
    <row r="389" spans="1:15" ht="22" customHeight="1" x14ac:dyDescent="0.35">
      <c r="A389" s="21" t="s">
        <v>135</v>
      </c>
      <c r="B389" s="29" t="s">
        <v>55</v>
      </c>
      <c r="C389" s="23"/>
      <c r="D389" s="23"/>
      <c r="E389" s="23"/>
      <c r="F389" s="21">
        <v>4</v>
      </c>
      <c r="G389" s="21">
        <v>3</v>
      </c>
      <c r="H389" s="7">
        <v>63787</v>
      </c>
      <c r="I389" s="7">
        <f>F389*G389*H389</f>
        <v>765444</v>
      </c>
      <c r="J389" s="9">
        <v>-346512</v>
      </c>
      <c r="K389" s="7">
        <f>I389+J389</f>
        <v>418932</v>
      </c>
      <c r="N389">
        <v>2</v>
      </c>
      <c r="O389" t="s">
        <v>134</v>
      </c>
    </row>
    <row r="390" spans="1:15" ht="22" customHeight="1" x14ac:dyDescent="0.35">
      <c r="A390" s="21" t="s">
        <v>137</v>
      </c>
      <c r="B390" s="29" t="s">
        <v>207</v>
      </c>
      <c r="C390" s="23"/>
      <c r="D390" s="23"/>
      <c r="E390" s="23"/>
      <c r="F390" s="21">
        <v>4</v>
      </c>
      <c r="G390" s="21">
        <v>3</v>
      </c>
      <c r="H390" s="7">
        <v>45000</v>
      </c>
      <c r="I390" s="7">
        <f>F390*G390*H390</f>
        <v>540000</v>
      </c>
      <c r="J390" s="9">
        <v>0</v>
      </c>
      <c r="K390" s="7">
        <f>I390+J390</f>
        <v>540000</v>
      </c>
      <c r="L390">
        <v>3</v>
      </c>
      <c r="M390" t="s">
        <v>134</v>
      </c>
    </row>
    <row r="391" spans="1:15" ht="22" customHeight="1" x14ac:dyDescent="0.35">
      <c r="A391" s="21" t="s">
        <v>139</v>
      </c>
      <c r="B391" s="29" t="s">
        <v>208</v>
      </c>
      <c r="C391" s="23"/>
      <c r="D391" s="23"/>
      <c r="E391" s="23"/>
      <c r="F391" s="21">
        <v>4</v>
      </c>
      <c r="G391" s="21">
        <v>3</v>
      </c>
      <c r="H391" s="7">
        <v>51975</v>
      </c>
      <c r="I391" s="7">
        <f>F391*G391*H391</f>
        <v>623700</v>
      </c>
      <c r="J391" s="9">
        <v>0</v>
      </c>
      <c r="K391" s="7">
        <f>I391+J391</f>
        <v>623700</v>
      </c>
      <c r="N391">
        <v>4</v>
      </c>
      <c r="O391" t="s">
        <v>134</v>
      </c>
    </row>
    <row r="392" spans="1:15" ht="24" customHeight="1" x14ac:dyDescent="0.35">
      <c r="A392" s="38" t="s">
        <v>165</v>
      </c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 spans="1:15" x14ac:dyDescent="0.35">
      <c r="A393" t="s">
        <v>141</v>
      </c>
      <c r="C393" t="s">
        <v>120</v>
      </c>
      <c r="D393" s="40">
        <f>SUM(K388:K391)</f>
        <v>2474076</v>
      </c>
      <c r="E393" s="28"/>
    </row>
    <row r="394" spans="1:15" ht="30" customHeight="1" x14ac:dyDescent="0.35">
      <c r="A394" s="22" t="s">
        <v>142</v>
      </c>
      <c r="C394" s="22" t="s">
        <v>120</v>
      </c>
      <c r="D394" s="31" t="s">
        <v>209</v>
      </c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15" x14ac:dyDescent="0.35">
      <c r="A395" t="s">
        <v>144</v>
      </c>
      <c r="C395" t="s">
        <v>120</v>
      </c>
      <c r="D395" t="s">
        <v>145</v>
      </c>
    </row>
    <row r="396" spans="1:15" x14ac:dyDescent="0.35">
      <c r="D396" t="s">
        <v>146</v>
      </c>
    </row>
    <row r="397" spans="1:15" x14ac:dyDescent="0.35">
      <c r="D397" t="s">
        <v>167</v>
      </c>
    </row>
    <row r="398" spans="1:15" x14ac:dyDescent="0.35">
      <c r="A398" s="2" t="s">
        <v>147</v>
      </c>
      <c r="D398" s="27" t="s">
        <v>131</v>
      </c>
      <c r="E398" s="28"/>
      <c r="F398" s="2" t="s">
        <v>148</v>
      </c>
      <c r="M398" s="2" t="s">
        <v>149</v>
      </c>
      <c r="O398" s="2" t="s">
        <v>78</v>
      </c>
    </row>
    <row r="400" spans="1:15" x14ac:dyDescent="0.35">
      <c r="A400" t="s">
        <v>150</v>
      </c>
      <c r="M400" t="s">
        <v>151</v>
      </c>
      <c r="O400" s="10">
        <f>D393</f>
        <v>2474076</v>
      </c>
    </row>
    <row r="403" spans="1:15" x14ac:dyDescent="0.35">
      <c r="A403" t="s">
        <v>152</v>
      </c>
    </row>
    <row r="406" spans="1:15" x14ac:dyDescent="0.35">
      <c r="A406" t="s">
        <v>153</v>
      </c>
    </row>
    <row r="409" spans="1:15" x14ac:dyDescent="0.35">
      <c r="A409" t="s">
        <v>154</v>
      </c>
    </row>
    <row r="412" spans="1:15" ht="15.5" x14ac:dyDescent="0.35">
      <c r="B412" s="1" t="s">
        <v>114</v>
      </c>
    </row>
    <row r="413" spans="1:15" ht="15.5" x14ac:dyDescent="0.35">
      <c r="B413" s="1" t="s">
        <v>115</v>
      </c>
    </row>
    <row r="414" spans="1:15" x14ac:dyDescent="0.35">
      <c r="B414" s="18" t="s">
        <v>116</v>
      </c>
    </row>
    <row r="415" spans="1:15" x14ac:dyDescent="0.35">
      <c r="A415" s="19"/>
      <c r="B415" s="20" t="s">
        <v>117</v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</row>
    <row r="417" spans="1:15" x14ac:dyDescent="0.35">
      <c r="A417" s="37" t="s">
        <v>118</v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 spans="1:15" x14ac:dyDescent="0.35">
      <c r="L418" t="s">
        <v>119</v>
      </c>
      <c r="N418" t="s">
        <v>120</v>
      </c>
      <c r="O418" t="s">
        <v>121</v>
      </c>
    </row>
    <row r="419" spans="1:15" x14ac:dyDescent="0.35">
      <c r="A419" t="s">
        <v>122</v>
      </c>
      <c r="D419" s="2" t="s">
        <v>210</v>
      </c>
    </row>
    <row r="421" spans="1:15" x14ac:dyDescent="0.35">
      <c r="A421" s="3" t="s">
        <v>124</v>
      </c>
      <c r="B421" s="26" t="s">
        <v>125</v>
      </c>
      <c r="C421" s="23"/>
      <c r="D421" s="23"/>
      <c r="E421" s="23"/>
      <c r="F421" s="3" t="s">
        <v>78</v>
      </c>
      <c r="G421" s="3" t="s">
        <v>126</v>
      </c>
      <c r="H421" s="3" t="s">
        <v>127</v>
      </c>
      <c r="I421" s="3" t="s">
        <v>128</v>
      </c>
      <c r="J421" s="3" t="s">
        <v>129</v>
      </c>
      <c r="K421" s="3" t="s">
        <v>130</v>
      </c>
      <c r="L421" s="26" t="s">
        <v>131</v>
      </c>
      <c r="M421" s="23"/>
      <c r="N421" s="23"/>
      <c r="O421" s="23"/>
    </row>
    <row r="422" spans="1:15" ht="22" customHeight="1" x14ac:dyDescent="0.35">
      <c r="A422" s="21" t="s">
        <v>132</v>
      </c>
      <c r="B422" s="29" t="s">
        <v>211</v>
      </c>
      <c r="C422" s="23"/>
      <c r="D422" s="23"/>
      <c r="E422" s="23"/>
      <c r="F422" s="21">
        <v>4</v>
      </c>
      <c r="G422" s="21">
        <v>3</v>
      </c>
      <c r="H422" s="7">
        <v>75600</v>
      </c>
      <c r="I422" s="7">
        <f>F422*G422*H422</f>
        <v>907200</v>
      </c>
      <c r="J422" s="9">
        <v>0</v>
      </c>
      <c r="K422" s="7">
        <f>I422+J422</f>
        <v>907200</v>
      </c>
      <c r="L422">
        <v>1</v>
      </c>
      <c r="M422" t="s">
        <v>134</v>
      </c>
    </row>
    <row r="423" spans="1:15" ht="22" customHeight="1" x14ac:dyDescent="0.35">
      <c r="A423" s="21" t="s">
        <v>135</v>
      </c>
      <c r="B423" s="29" t="s">
        <v>212</v>
      </c>
      <c r="C423" s="23"/>
      <c r="D423" s="23"/>
      <c r="E423" s="23"/>
      <c r="F423" s="21">
        <v>4</v>
      </c>
      <c r="G423" s="21">
        <v>3</v>
      </c>
      <c r="H423" s="7">
        <v>71138</v>
      </c>
      <c r="I423" s="7">
        <f>F423*G423*H423</f>
        <v>853656</v>
      </c>
      <c r="J423" s="9">
        <v>0</v>
      </c>
      <c r="K423" s="7">
        <f>I423+J423</f>
        <v>853656</v>
      </c>
      <c r="N423">
        <v>2</v>
      </c>
      <c r="O423" t="s">
        <v>134</v>
      </c>
    </row>
    <row r="424" spans="1:15" ht="22" customHeight="1" x14ac:dyDescent="0.35">
      <c r="A424" s="21" t="s">
        <v>137</v>
      </c>
      <c r="B424" s="29" t="s">
        <v>213</v>
      </c>
      <c r="C424" s="23"/>
      <c r="D424" s="23"/>
      <c r="E424" s="23"/>
      <c r="F424" s="21">
        <v>4</v>
      </c>
      <c r="G424" s="21">
        <v>3</v>
      </c>
      <c r="H424" s="7">
        <v>63000</v>
      </c>
      <c r="I424" s="7">
        <f>F424*G424*H424</f>
        <v>756000</v>
      </c>
      <c r="J424" s="9">
        <v>0</v>
      </c>
      <c r="K424" s="7">
        <f>I424+J424</f>
        <v>756000</v>
      </c>
      <c r="L424">
        <v>3</v>
      </c>
      <c r="M424" t="s">
        <v>134</v>
      </c>
    </row>
    <row r="425" spans="1:15" ht="22" customHeight="1" x14ac:dyDescent="0.35">
      <c r="A425" s="21" t="s">
        <v>139</v>
      </c>
      <c r="B425" s="29" t="s">
        <v>214</v>
      </c>
      <c r="C425" s="23"/>
      <c r="D425" s="23"/>
      <c r="E425" s="23"/>
      <c r="F425" s="21">
        <v>4</v>
      </c>
      <c r="G425" s="21">
        <v>3</v>
      </c>
      <c r="H425" s="7">
        <v>71138</v>
      </c>
      <c r="I425" s="7">
        <f>F425*G425*H425</f>
        <v>853656</v>
      </c>
      <c r="J425" s="9">
        <v>0</v>
      </c>
      <c r="K425" s="7">
        <f>I425+J425</f>
        <v>853656</v>
      </c>
      <c r="N425">
        <v>4</v>
      </c>
      <c r="O425" t="s">
        <v>134</v>
      </c>
    </row>
    <row r="427" spans="1:15" x14ac:dyDescent="0.35">
      <c r="A427" t="s">
        <v>141</v>
      </c>
      <c r="C427" t="s">
        <v>120</v>
      </c>
      <c r="D427" s="40">
        <f>SUM(K422:K425)</f>
        <v>3370512</v>
      </c>
      <c r="E427" s="28"/>
    </row>
    <row r="428" spans="1:15" ht="30" customHeight="1" x14ac:dyDescent="0.35">
      <c r="A428" s="22" t="s">
        <v>142</v>
      </c>
      <c r="C428" s="22" t="s">
        <v>120</v>
      </c>
      <c r="D428" s="31" t="s">
        <v>215</v>
      </c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1:15" x14ac:dyDescent="0.35">
      <c r="A429" t="s">
        <v>144</v>
      </c>
      <c r="C429" t="s">
        <v>120</v>
      </c>
      <c r="D429" t="s">
        <v>145</v>
      </c>
    </row>
    <row r="430" spans="1:15" x14ac:dyDescent="0.35">
      <c r="D430" t="s">
        <v>146</v>
      </c>
    </row>
    <row r="432" spans="1:15" x14ac:dyDescent="0.35">
      <c r="A432" s="2" t="s">
        <v>147</v>
      </c>
      <c r="D432" s="27" t="s">
        <v>131</v>
      </c>
      <c r="E432" s="28"/>
      <c r="F432" s="2" t="s">
        <v>148</v>
      </c>
      <c r="M432" s="2" t="s">
        <v>149</v>
      </c>
      <c r="O432" s="2" t="s">
        <v>78</v>
      </c>
    </row>
    <row r="434" spans="1:15" x14ac:dyDescent="0.35">
      <c r="A434" t="s">
        <v>150</v>
      </c>
      <c r="M434" t="s">
        <v>151</v>
      </c>
      <c r="O434" s="10">
        <f>D427</f>
        <v>3370512</v>
      </c>
    </row>
    <row r="437" spans="1:15" x14ac:dyDescent="0.35">
      <c r="A437" t="s">
        <v>152</v>
      </c>
    </row>
    <row r="440" spans="1:15" x14ac:dyDescent="0.35">
      <c r="A440" t="s">
        <v>153</v>
      </c>
    </row>
    <row r="443" spans="1:15" x14ac:dyDescent="0.35">
      <c r="A443" t="s">
        <v>154</v>
      </c>
    </row>
    <row r="446" spans="1:15" ht="15.5" x14ac:dyDescent="0.35">
      <c r="B446" s="1" t="s">
        <v>114</v>
      </c>
    </row>
    <row r="447" spans="1:15" ht="15.5" x14ac:dyDescent="0.35">
      <c r="B447" s="1" t="s">
        <v>115</v>
      </c>
    </row>
    <row r="448" spans="1:15" x14ac:dyDescent="0.35">
      <c r="B448" s="18" t="s">
        <v>116</v>
      </c>
    </row>
    <row r="449" spans="1:15" x14ac:dyDescent="0.35">
      <c r="A449" s="19"/>
      <c r="B449" s="20" t="s">
        <v>117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</row>
    <row r="451" spans="1:15" x14ac:dyDescent="0.35">
      <c r="A451" s="37" t="s">
        <v>118</v>
      </c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 spans="1:15" x14ac:dyDescent="0.35">
      <c r="L452" t="s">
        <v>119</v>
      </c>
      <c r="N452" t="s">
        <v>120</v>
      </c>
      <c r="O452" t="s">
        <v>121</v>
      </c>
    </row>
    <row r="453" spans="1:15" x14ac:dyDescent="0.35">
      <c r="A453" t="s">
        <v>122</v>
      </c>
      <c r="D453" s="2" t="s">
        <v>216</v>
      </c>
    </row>
    <row r="455" spans="1:15" x14ac:dyDescent="0.35">
      <c r="A455" s="3" t="s">
        <v>124</v>
      </c>
      <c r="B455" s="26" t="s">
        <v>125</v>
      </c>
      <c r="C455" s="23"/>
      <c r="D455" s="23"/>
      <c r="E455" s="23"/>
      <c r="F455" s="3" t="s">
        <v>78</v>
      </c>
      <c r="G455" s="3" t="s">
        <v>126</v>
      </c>
      <c r="H455" s="3" t="s">
        <v>127</v>
      </c>
      <c r="I455" s="3" t="s">
        <v>128</v>
      </c>
      <c r="J455" s="3" t="s">
        <v>129</v>
      </c>
      <c r="K455" s="3" t="s">
        <v>130</v>
      </c>
      <c r="L455" s="26" t="s">
        <v>131</v>
      </c>
      <c r="M455" s="23"/>
      <c r="N455" s="23"/>
      <c r="O455" s="23"/>
    </row>
    <row r="456" spans="1:15" ht="22" customHeight="1" x14ac:dyDescent="0.35">
      <c r="A456" s="21" t="s">
        <v>132</v>
      </c>
      <c r="B456" s="29" t="s">
        <v>217</v>
      </c>
      <c r="C456" s="23"/>
      <c r="D456" s="23"/>
      <c r="E456" s="23"/>
      <c r="F456" s="21">
        <v>4</v>
      </c>
      <c r="G456" s="21">
        <v>3</v>
      </c>
      <c r="H456" s="7">
        <v>74287</v>
      </c>
      <c r="I456" s="7">
        <f>F456*G456*H456</f>
        <v>891444</v>
      </c>
      <c r="J456" s="9">
        <v>0</v>
      </c>
      <c r="K456" s="7">
        <f>I456+J456</f>
        <v>891444</v>
      </c>
      <c r="L456">
        <v>1</v>
      </c>
      <c r="M456" t="s">
        <v>134</v>
      </c>
    </row>
    <row r="457" spans="1:15" ht="22" customHeight="1" x14ac:dyDescent="0.35">
      <c r="A457" s="21" t="s">
        <v>135</v>
      </c>
      <c r="B457" s="29" t="s">
        <v>218</v>
      </c>
      <c r="C457" s="23"/>
      <c r="D457" s="23"/>
      <c r="E457" s="23"/>
      <c r="F457" s="21">
        <v>4</v>
      </c>
      <c r="G457" s="21">
        <v>3</v>
      </c>
      <c r="H457" s="7">
        <v>74287</v>
      </c>
      <c r="I457" s="7">
        <f>F457*G457*H457</f>
        <v>891444</v>
      </c>
      <c r="J457" s="9">
        <v>0</v>
      </c>
      <c r="K457" s="7">
        <f>I457+J457</f>
        <v>891444</v>
      </c>
      <c r="N457">
        <v>2</v>
      </c>
      <c r="O457" t="s">
        <v>134</v>
      </c>
    </row>
    <row r="458" spans="1:15" ht="22" customHeight="1" x14ac:dyDescent="0.35">
      <c r="A458" s="21" t="s">
        <v>137</v>
      </c>
      <c r="B458" s="29" t="s">
        <v>219</v>
      </c>
      <c r="C458" s="23"/>
      <c r="D458" s="23"/>
      <c r="E458" s="23"/>
      <c r="F458" s="21">
        <v>4</v>
      </c>
      <c r="G458" s="21">
        <v>3</v>
      </c>
      <c r="H458" s="7">
        <v>67305</v>
      </c>
      <c r="I458" s="7">
        <f>F458*G458*H458</f>
        <v>807660</v>
      </c>
      <c r="J458" s="9">
        <v>0</v>
      </c>
      <c r="K458" s="7">
        <f>I458+J458</f>
        <v>807660</v>
      </c>
      <c r="L458">
        <v>3</v>
      </c>
      <c r="M458" t="s">
        <v>134</v>
      </c>
    </row>
    <row r="459" spans="1:15" ht="22" customHeight="1" x14ac:dyDescent="0.35">
      <c r="A459" s="21" t="s">
        <v>139</v>
      </c>
      <c r="B459" s="29" t="s">
        <v>220</v>
      </c>
      <c r="C459" s="23"/>
      <c r="D459" s="23"/>
      <c r="E459" s="23"/>
      <c r="F459" s="21">
        <v>4</v>
      </c>
      <c r="G459" s="21">
        <v>3</v>
      </c>
      <c r="H459" s="7">
        <v>66465</v>
      </c>
      <c r="I459" s="7">
        <f>F459*G459*H459</f>
        <v>797580</v>
      </c>
      <c r="J459" s="9">
        <v>0</v>
      </c>
      <c r="K459" s="7">
        <f>I459+J459</f>
        <v>797580</v>
      </c>
      <c r="N459">
        <v>4</v>
      </c>
      <c r="O459" t="s">
        <v>134</v>
      </c>
    </row>
    <row r="460" spans="1:15" ht="22" customHeight="1" x14ac:dyDescent="0.35">
      <c r="A460" s="21" t="s">
        <v>202</v>
      </c>
      <c r="B460" s="29" t="s">
        <v>221</v>
      </c>
      <c r="C460" s="23"/>
      <c r="D460" s="23"/>
      <c r="E460" s="23"/>
      <c r="F460" s="21">
        <v>4</v>
      </c>
      <c r="G460" s="21">
        <v>3</v>
      </c>
      <c r="H460" s="7">
        <v>56332</v>
      </c>
      <c r="I460" s="7">
        <f>F460*G460*H460</f>
        <v>675984</v>
      </c>
      <c r="J460" s="9">
        <v>0</v>
      </c>
      <c r="K460" s="7">
        <f>I460+J460</f>
        <v>675984</v>
      </c>
      <c r="L460">
        <v>5</v>
      </c>
      <c r="M460" t="s">
        <v>134</v>
      </c>
    </row>
    <row r="462" spans="1:15" x14ac:dyDescent="0.35">
      <c r="A462" t="s">
        <v>141</v>
      </c>
      <c r="C462" t="s">
        <v>120</v>
      </c>
      <c r="D462" s="40">
        <f>SUM(K456:K460)</f>
        <v>4064112</v>
      </c>
      <c r="E462" s="28"/>
    </row>
    <row r="463" spans="1:15" ht="30" customHeight="1" x14ac:dyDescent="0.35">
      <c r="A463" s="22" t="s">
        <v>142</v>
      </c>
      <c r="C463" s="22" t="s">
        <v>120</v>
      </c>
      <c r="D463" s="31" t="s">
        <v>222</v>
      </c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 spans="1:15" x14ac:dyDescent="0.35">
      <c r="A464" t="s">
        <v>144</v>
      </c>
      <c r="C464" t="s">
        <v>120</v>
      </c>
      <c r="D464" t="s">
        <v>145</v>
      </c>
    </row>
    <row r="465" spans="1:15" x14ac:dyDescent="0.35">
      <c r="D465" t="s">
        <v>146</v>
      </c>
    </row>
    <row r="467" spans="1:15" x14ac:dyDescent="0.35">
      <c r="A467" s="2" t="s">
        <v>147</v>
      </c>
      <c r="D467" s="27" t="s">
        <v>131</v>
      </c>
      <c r="E467" s="28"/>
      <c r="F467" s="2" t="s">
        <v>148</v>
      </c>
      <c r="M467" s="2" t="s">
        <v>149</v>
      </c>
      <c r="O467" s="2" t="s">
        <v>78</v>
      </c>
    </row>
    <row r="469" spans="1:15" x14ac:dyDescent="0.35">
      <c r="A469" t="s">
        <v>150</v>
      </c>
      <c r="M469" t="s">
        <v>151</v>
      </c>
      <c r="O469" s="10">
        <f>D462</f>
        <v>4064112</v>
      </c>
    </row>
    <row r="472" spans="1:15" x14ac:dyDescent="0.35">
      <c r="A472" t="s">
        <v>152</v>
      </c>
    </row>
    <row r="475" spans="1:15" x14ac:dyDescent="0.35">
      <c r="A475" t="s">
        <v>153</v>
      </c>
    </row>
    <row r="478" spans="1:15" x14ac:dyDescent="0.35">
      <c r="A478" t="s">
        <v>154</v>
      </c>
    </row>
    <row r="481" spans="1:15" ht="15.5" x14ac:dyDescent="0.35">
      <c r="B481" s="1" t="s">
        <v>114</v>
      </c>
    </row>
    <row r="482" spans="1:15" ht="15.5" x14ac:dyDescent="0.35">
      <c r="B482" s="1" t="s">
        <v>115</v>
      </c>
    </row>
    <row r="483" spans="1:15" x14ac:dyDescent="0.35">
      <c r="B483" s="18" t="s">
        <v>116</v>
      </c>
    </row>
    <row r="484" spans="1:15" x14ac:dyDescent="0.35">
      <c r="A484" s="19"/>
      <c r="B484" s="20" t="s">
        <v>117</v>
      </c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</row>
    <row r="486" spans="1:15" x14ac:dyDescent="0.35">
      <c r="A486" s="37" t="s">
        <v>118</v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 spans="1:15" x14ac:dyDescent="0.35">
      <c r="L487" t="s">
        <v>119</v>
      </c>
      <c r="N487" t="s">
        <v>120</v>
      </c>
      <c r="O487" t="s">
        <v>121</v>
      </c>
    </row>
    <row r="488" spans="1:15" x14ac:dyDescent="0.35">
      <c r="A488" t="s">
        <v>122</v>
      </c>
      <c r="D488" s="2" t="s">
        <v>223</v>
      </c>
    </row>
    <row r="490" spans="1:15" x14ac:dyDescent="0.35">
      <c r="A490" s="3" t="s">
        <v>124</v>
      </c>
      <c r="B490" s="26" t="s">
        <v>125</v>
      </c>
      <c r="C490" s="23"/>
      <c r="D490" s="23"/>
      <c r="E490" s="23"/>
      <c r="F490" s="3" t="s">
        <v>78</v>
      </c>
      <c r="G490" s="3" t="s">
        <v>126</v>
      </c>
      <c r="H490" s="3" t="s">
        <v>127</v>
      </c>
      <c r="I490" s="3" t="s">
        <v>128</v>
      </c>
      <c r="J490" s="3" t="s">
        <v>129</v>
      </c>
      <c r="K490" s="3" t="s">
        <v>130</v>
      </c>
      <c r="L490" s="26" t="s">
        <v>131</v>
      </c>
      <c r="M490" s="23"/>
      <c r="N490" s="23"/>
      <c r="O490" s="23"/>
    </row>
    <row r="491" spans="1:15" ht="22" customHeight="1" x14ac:dyDescent="0.35">
      <c r="A491" s="21" t="s">
        <v>132</v>
      </c>
      <c r="B491" s="29" t="s">
        <v>224</v>
      </c>
      <c r="C491" s="23"/>
      <c r="D491" s="23"/>
      <c r="E491" s="23"/>
      <c r="F491" s="21">
        <v>4</v>
      </c>
      <c r="G491" s="21">
        <v>3</v>
      </c>
      <c r="H491" s="7">
        <v>66465</v>
      </c>
      <c r="I491" s="7">
        <f>F491*G491*H491</f>
        <v>797580</v>
      </c>
      <c r="J491" s="9">
        <v>0</v>
      </c>
      <c r="K491" s="7">
        <f>I491+J491</f>
        <v>797580</v>
      </c>
      <c r="L491">
        <v>1</v>
      </c>
      <c r="M491" t="s">
        <v>134</v>
      </c>
    </row>
    <row r="492" spans="1:15" ht="22" customHeight="1" x14ac:dyDescent="0.35">
      <c r="A492" s="21" t="s">
        <v>135</v>
      </c>
      <c r="B492" s="29" t="s">
        <v>225</v>
      </c>
      <c r="C492" s="23"/>
      <c r="D492" s="23"/>
      <c r="E492" s="23"/>
      <c r="F492" s="21">
        <v>4</v>
      </c>
      <c r="G492" s="21">
        <v>3</v>
      </c>
      <c r="H492" s="7">
        <v>82688</v>
      </c>
      <c r="I492" s="7">
        <f>F492*G492*H492</f>
        <v>992256</v>
      </c>
      <c r="J492" s="9">
        <v>0</v>
      </c>
      <c r="K492" s="7">
        <f>I492+J492</f>
        <v>992256</v>
      </c>
      <c r="N492">
        <v>2</v>
      </c>
      <c r="O492" t="s">
        <v>134</v>
      </c>
    </row>
    <row r="493" spans="1:15" ht="22" customHeight="1" x14ac:dyDescent="0.35">
      <c r="A493" s="21" t="s">
        <v>137</v>
      </c>
      <c r="B493" s="29" t="s">
        <v>226</v>
      </c>
      <c r="C493" s="23"/>
      <c r="D493" s="23"/>
      <c r="E493" s="23"/>
      <c r="F493" s="21">
        <v>4</v>
      </c>
      <c r="G493" s="21">
        <v>3</v>
      </c>
      <c r="H493" s="7">
        <v>54652</v>
      </c>
      <c r="I493" s="7">
        <f>F493*G493*H493</f>
        <v>655824</v>
      </c>
      <c r="J493" s="9">
        <v>0</v>
      </c>
      <c r="K493" s="7">
        <f>I493+J493</f>
        <v>655824</v>
      </c>
      <c r="L493">
        <v>3</v>
      </c>
      <c r="M493" t="s">
        <v>134</v>
      </c>
    </row>
    <row r="494" spans="1:15" ht="22" customHeight="1" x14ac:dyDescent="0.35">
      <c r="A494" s="21" t="s">
        <v>139</v>
      </c>
      <c r="B494" s="29" t="s">
        <v>68</v>
      </c>
      <c r="C494" s="23"/>
      <c r="D494" s="23"/>
      <c r="E494" s="23"/>
      <c r="F494" s="21">
        <v>4</v>
      </c>
      <c r="G494" s="21">
        <v>3</v>
      </c>
      <c r="H494" s="7">
        <v>57000</v>
      </c>
      <c r="I494" s="7">
        <f>F494*G494*H494</f>
        <v>684000</v>
      </c>
      <c r="J494" s="9">
        <v>72000</v>
      </c>
      <c r="K494" s="7">
        <f>I494+J494</f>
        <v>756000</v>
      </c>
      <c r="N494">
        <v>4</v>
      </c>
      <c r="O494" t="s">
        <v>134</v>
      </c>
    </row>
    <row r="495" spans="1:15" ht="24" customHeight="1" x14ac:dyDescent="0.35">
      <c r="A495" s="38" t="s">
        <v>165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 spans="1:15" x14ac:dyDescent="0.35">
      <c r="A496" t="s">
        <v>141</v>
      </c>
      <c r="C496" t="s">
        <v>120</v>
      </c>
      <c r="D496" s="40">
        <f>SUM(K491:K494)</f>
        <v>3201660</v>
      </c>
      <c r="E496" s="28"/>
    </row>
    <row r="497" spans="1:15" ht="30" customHeight="1" x14ac:dyDescent="0.35">
      <c r="A497" s="22" t="s">
        <v>142</v>
      </c>
      <c r="C497" s="22" t="s">
        <v>120</v>
      </c>
      <c r="D497" s="31" t="s">
        <v>227</v>
      </c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 spans="1:15" x14ac:dyDescent="0.35">
      <c r="A498" t="s">
        <v>144</v>
      </c>
      <c r="C498" t="s">
        <v>120</v>
      </c>
      <c r="D498" t="s">
        <v>145</v>
      </c>
    </row>
    <row r="499" spans="1:15" x14ac:dyDescent="0.35">
      <c r="D499" t="s">
        <v>146</v>
      </c>
    </row>
    <row r="500" spans="1:15" x14ac:dyDescent="0.35">
      <c r="D500" t="s">
        <v>167</v>
      </c>
    </row>
    <row r="501" spans="1:15" x14ac:dyDescent="0.35">
      <c r="A501" s="2" t="s">
        <v>147</v>
      </c>
      <c r="D501" s="27" t="s">
        <v>131</v>
      </c>
      <c r="E501" s="28"/>
      <c r="F501" s="2" t="s">
        <v>148</v>
      </c>
      <c r="M501" s="2" t="s">
        <v>149</v>
      </c>
      <c r="O501" s="2" t="s">
        <v>78</v>
      </c>
    </row>
    <row r="503" spans="1:15" x14ac:dyDescent="0.35">
      <c r="A503" t="s">
        <v>150</v>
      </c>
      <c r="M503" t="s">
        <v>151</v>
      </c>
      <c r="O503" s="10">
        <f>D496</f>
        <v>3201660</v>
      </c>
    </row>
    <row r="506" spans="1:15" x14ac:dyDescent="0.35">
      <c r="A506" t="s">
        <v>152</v>
      </c>
    </row>
    <row r="509" spans="1:15" x14ac:dyDescent="0.35">
      <c r="A509" t="s">
        <v>153</v>
      </c>
    </row>
    <row r="512" spans="1:15" x14ac:dyDescent="0.35">
      <c r="A512" t="s">
        <v>154</v>
      </c>
    </row>
    <row r="515" spans="1:15" ht="15.5" x14ac:dyDescent="0.35">
      <c r="B515" s="1" t="s">
        <v>114</v>
      </c>
    </row>
    <row r="516" spans="1:15" ht="15.5" x14ac:dyDescent="0.35">
      <c r="B516" s="1" t="s">
        <v>115</v>
      </c>
    </row>
    <row r="517" spans="1:15" x14ac:dyDescent="0.35">
      <c r="B517" s="18" t="s">
        <v>116</v>
      </c>
    </row>
    <row r="518" spans="1:15" x14ac:dyDescent="0.35">
      <c r="A518" s="19"/>
      <c r="B518" s="20" t="s">
        <v>117</v>
      </c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</row>
    <row r="520" spans="1:15" x14ac:dyDescent="0.35">
      <c r="A520" s="37" t="s">
        <v>118</v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 spans="1:15" x14ac:dyDescent="0.35">
      <c r="L521" t="s">
        <v>119</v>
      </c>
      <c r="N521" t="s">
        <v>120</v>
      </c>
      <c r="O521" t="s">
        <v>121</v>
      </c>
    </row>
    <row r="522" spans="1:15" x14ac:dyDescent="0.35">
      <c r="A522" t="s">
        <v>122</v>
      </c>
      <c r="D522" s="2" t="s">
        <v>228</v>
      </c>
    </row>
    <row r="524" spans="1:15" x14ac:dyDescent="0.35">
      <c r="A524" s="3" t="s">
        <v>124</v>
      </c>
      <c r="B524" s="26" t="s">
        <v>125</v>
      </c>
      <c r="C524" s="23"/>
      <c r="D524" s="23"/>
      <c r="E524" s="23"/>
      <c r="F524" s="3" t="s">
        <v>78</v>
      </c>
      <c r="G524" s="3" t="s">
        <v>126</v>
      </c>
      <c r="H524" s="3" t="s">
        <v>127</v>
      </c>
      <c r="I524" s="3" t="s">
        <v>128</v>
      </c>
      <c r="J524" s="3" t="s">
        <v>129</v>
      </c>
      <c r="K524" s="3" t="s">
        <v>130</v>
      </c>
      <c r="L524" s="26" t="s">
        <v>131</v>
      </c>
      <c r="M524" s="23"/>
      <c r="N524" s="23"/>
      <c r="O524" s="23"/>
    </row>
    <row r="525" spans="1:15" ht="22" customHeight="1" x14ac:dyDescent="0.35">
      <c r="A525" s="21" t="s">
        <v>132</v>
      </c>
      <c r="B525" s="29" t="s">
        <v>229</v>
      </c>
      <c r="C525" s="23"/>
      <c r="D525" s="23"/>
      <c r="E525" s="23"/>
      <c r="F525" s="21">
        <v>4</v>
      </c>
      <c r="G525" s="21">
        <v>3</v>
      </c>
      <c r="H525" s="7">
        <v>81375</v>
      </c>
      <c r="I525" s="7">
        <f>F525*G525*H525</f>
        <v>976500</v>
      </c>
      <c r="J525" s="9">
        <v>0</v>
      </c>
      <c r="K525" s="7">
        <f>I525+J525</f>
        <v>976500</v>
      </c>
      <c r="L525">
        <v>1</v>
      </c>
      <c r="M525" t="s">
        <v>134</v>
      </c>
    </row>
    <row r="526" spans="1:15" ht="22" customHeight="1" x14ac:dyDescent="0.35">
      <c r="A526" s="21" t="s">
        <v>135</v>
      </c>
      <c r="B526" s="29" t="s">
        <v>230</v>
      </c>
      <c r="C526" s="23"/>
      <c r="D526" s="23"/>
      <c r="E526" s="23"/>
      <c r="F526" s="21">
        <v>4</v>
      </c>
      <c r="G526" s="21">
        <v>3</v>
      </c>
      <c r="H526" s="7">
        <v>67777</v>
      </c>
      <c r="I526" s="7">
        <f>F526*G526*H526</f>
        <v>813324</v>
      </c>
      <c r="J526" s="9">
        <v>0</v>
      </c>
      <c r="K526" s="7">
        <f>I526+J526</f>
        <v>813324</v>
      </c>
      <c r="N526">
        <v>2</v>
      </c>
      <c r="O526" t="s">
        <v>134</v>
      </c>
    </row>
    <row r="527" spans="1:15" ht="22" customHeight="1" x14ac:dyDescent="0.35">
      <c r="A527" s="21" t="s">
        <v>137</v>
      </c>
      <c r="B527" s="29" t="s">
        <v>231</v>
      </c>
      <c r="C527" s="23"/>
      <c r="D527" s="23"/>
      <c r="E527" s="23"/>
      <c r="F527" s="21">
        <v>4</v>
      </c>
      <c r="G527" s="21">
        <v>3</v>
      </c>
      <c r="H527" s="7">
        <v>66465</v>
      </c>
      <c r="I527" s="7">
        <f>F527*G527*H527</f>
        <v>797580</v>
      </c>
      <c r="J527" s="9">
        <v>0</v>
      </c>
      <c r="K527" s="7">
        <f>I527+J527</f>
        <v>797580</v>
      </c>
      <c r="L527">
        <v>3</v>
      </c>
      <c r="M527" t="s">
        <v>134</v>
      </c>
    </row>
    <row r="529" spans="1:15" x14ac:dyDescent="0.35">
      <c r="A529" t="s">
        <v>141</v>
      </c>
      <c r="C529" t="s">
        <v>120</v>
      </c>
      <c r="D529" s="40">
        <f>SUM(K525:K527)</f>
        <v>2587404</v>
      </c>
      <c r="E529" s="28"/>
    </row>
    <row r="530" spans="1:15" ht="30" customHeight="1" x14ac:dyDescent="0.35">
      <c r="A530" s="22" t="s">
        <v>142</v>
      </c>
      <c r="C530" s="22" t="s">
        <v>120</v>
      </c>
      <c r="D530" s="31" t="s">
        <v>232</v>
      </c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 spans="1:15" x14ac:dyDescent="0.35">
      <c r="A531" t="s">
        <v>144</v>
      </c>
      <c r="C531" t="s">
        <v>120</v>
      </c>
      <c r="D531" t="s">
        <v>145</v>
      </c>
    </row>
    <row r="532" spans="1:15" x14ac:dyDescent="0.35">
      <c r="D532" t="s">
        <v>146</v>
      </c>
    </row>
    <row r="534" spans="1:15" x14ac:dyDescent="0.35">
      <c r="A534" s="2" t="s">
        <v>147</v>
      </c>
      <c r="D534" s="27" t="s">
        <v>131</v>
      </c>
      <c r="E534" s="28"/>
      <c r="F534" s="2" t="s">
        <v>148</v>
      </c>
      <c r="M534" s="2" t="s">
        <v>149</v>
      </c>
      <c r="O534" s="2" t="s">
        <v>78</v>
      </c>
    </row>
    <row r="536" spans="1:15" x14ac:dyDescent="0.35">
      <c r="A536" t="s">
        <v>150</v>
      </c>
      <c r="M536" t="s">
        <v>151</v>
      </c>
      <c r="O536" s="10">
        <f>D529</f>
        <v>2587404</v>
      </c>
    </row>
    <row r="539" spans="1:15" x14ac:dyDescent="0.35">
      <c r="A539" t="s">
        <v>152</v>
      </c>
    </row>
    <row r="542" spans="1:15" x14ac:dyDescent="0.35">
      <c r="A542" t="s">
        <v>153</v>
      </c>
    </row>
    <row r="545" spans="1:1" x14ac:dyDescent="0.35">
      <c r="A545" t="s">
        <v>154</v>
      </c>
    </row>
  </sheetData>
  <mergeCells count="216">
    <mergeCell ref="A4:O4"/>
    <mergeCell ref="L150:O150"/>
    <mergeCell ref="A451:O451"/>
    <mergeCell ref="L13:O13"/>
    <mergeCell ref="D89:O89"/>
    <mergeCell ref="D534:E534"/>
    <mergeCell ref="B152:E152"/>
    <mergeCell ref="B48:E48"/>
    <mergeCell ref="D122:E122"/>
    <mergeCell ref="B219:E219"/>
    <mergeCell ref="B459:E459"/>
    <mergeCell ref="L15:O15"/>
    <mergeCell ref="B322:E322"/>
    <mergeCell ref="B387:E387"/>
    <mergeCell ref="G11:I11"/>
    <mergeCell ref="B8:E8"/>
    <mergeCell ref="A520:O520"/>
    <mergeCell ref="B82:E82"/>
    <mergeCell ref="D529:E529"/>
    <mergeCell ref="D31:L31"/>
    <mergeCell ref="L284:O284"/>
    <mergeCell ref="A383:O383"/>
    <mergeCell ref="B525:E525"/>
    <mergeCell ref="B10:E10"/>
    <mergeCell ref="A1:O1"/>
    <mergeCell ref="B491:E491"/>
    <mergeCell ref="D256:E256"/>
    <mergeCell ref="D496:E496"/>
    <mergeCell ref="B19:E19"/>
    <mergeCell ref="D54:E54"/>
    <mergeCell ref="L10:O10"/>
    <mergeCell ref="D290:E290"/>
    <mergeCell ref="G7:I7"/>
    <mergeCell ref="L421:O421"/>
    <mergeCell ref="H23:O23"/>
    <mergeCell ref="A78:O78"/>
    <mergeCell ref="B457:E457"/>
    <mergeCell ref="B9:E9"/>
    <mergeCell ref="B187:E187"/>
    <mergeCell ref="B83:E83"/>
    <mergeCell ref="L9:O9"/>
    <mergeCell ref="B254:E254"/>
    <mergeCell ref="D467:E467"/>
    <mergeCell ref="B319:E319"/>
    <mergeCell ref="B490:E490"/>
    <mergeCell ref="D190:E190"/>
    <mergeCell ref="G18:I18"/>
    <mergeCell ref="B5:E5"/>
    <mergeCell ref="D501:E501"/>
    <mergeCell ref="D123:O123"/>
    <mergeCell ref="D93:E93"/>
    <mergeCell ref="B421:E421"/>
    <mergeCell ref="B120:E120"/>
    <mergeCell ref="G12:I12"/>
    <mergeCell ref="G21:I21"/>
    <mergeCell ref="L18:O18"/>
    <mergeCell ref="B318:E318"/>
    <mergeCell ref="D432:E432"/>
    <mergeCell ref="B17:E17"/>
    <mergeCell ref="D463:O463"/>
    <mergeCell ref="B455:E455"/>
    <mergeCell ref="B20:E20"/>
    <mergeCell ref="B251:E251"/>
    <mergeCell ref="B493:E493"/>
    <mergeCell ref="B85:E85"/>
    <mergeCell ref="B356:E356"/>
    <mergeCell ref="B188:E188"/>
    <mergeCell ref="B424:E424"/>
    <mergeCell ref="A247:O247"/>
    <mergeCell ref="B218:E218"/>
    <mergeCell ref="L455:O455"/>
    <mergeCell ref="L218:O218"/>
    <mergeCell ref="B527:E527"/>
    <mergeCell ref="G5:I5"/>
    <mergeCell ref="L48:O48"/>
    <mergeCell ref="B153:E153"/>
    <mergeCell ref="B355:E355"/>
    <mergeCell ref="B526:E526"/>
    <mergeCell ref="D224:O224"/>
    <mergeCell ref="B7:E7"/>
    <mergeCell ref="B185:E185"/>
    <mergeCell ref="G20:I20"/>
    <mergeCell ref="B252:E252"/>
    <mergeCell ref="L7:O7"/>
    <mergeCell ref="L387:O387"/>
    <mergeCell ref="B492:E492"/>
    <mergeCell ref="B357:E357"/>
    <mergeCell ref="A495:O495"/>
    <mergeCell ref="A180:O180"/>
    <mergeCell ref="D156:E156"/>
    <mergeCell ref="B184:E184"/>
    <mergeCell ref="D398:E398"/>
    <mergeCell ref="B460:E460"/>
    <mergeCell ref="B52:E52"/>
    <mergeCell ref="A392:O392"/>
    <mergeCell ref="B494:E494"/>
    <mergeCell ref="L490:O490"/>
    <mergeCell ref="B119:E119"/>
    <mergeCell ref="B116:E116"/>
    <mergeCell ref="G8:I8"/>
    <mergeCell ref="D393:E393"/>
    <mergeCell ref="L20:O20"/>
    <mergeCell ref="G17:I17"/>
    <mergeCell ref="L318:O318"/>
    <mergeCell ref="B352:E352"/>
    <mergeCell ref="B423:E423"/>
    <mergeCell ref="B186:E186"/>
    <mergeCell ref="B288:E288"/>
    <mergeCell ref="D257:O257"/>
    <mergeCell ref="B84:E84"/>
    <mergeCell ref="B118:E118"/>
    <mergeCell ref="G10:I10"/>
    <mergeCell ref="G19:I19"/>
    <mergeCell ref="B15:E15"/>
    <mergeCell ref="D364:E364"/>
    <mergeCell ref="B458:E458"/>
    <mergeCell ref="L8:O8"/>
    <mergeCell ref="L11:O11"/>
    <mergeCell ref="B150:E150"/>
    <mergeCell ref="B321:E321"/>
    <mergeCell ref="A2:O2"/>
    <mergeCell ref="G14:I14"/>
    <mergeCell ref="B50:E50"/>
    <mergeCell ref="D195:E195"/>
    <mergeCell ref="B390:E390"/>
    <mergeCell ref="B286:E286"/>
    <mergeCell ref="B16:E16"/>
    <mergeCell ref="L16:O16"/>
    <mergeCell ref="D427:E427"/>
    <mergeCell ref="B18:E18"/>
    <mergeCell ref="D55:O55"/>
    <mergeCell ref="D157:O157"/>
    <mergeCell ref="L184:O184"/>
    <mergeCell ref="B220:E220"/>
    <mergeCell ref="A112:O112"/>
    <mergeCell ref="A348:O348"/>
    <mergeCell ref="B11:E11"/>
    <mergeCell ref="B253:E253"/>
    <mergeCell ref="B117:E117"/>
    <mergeCell ref="B287:E287"/>
    <mergeCell ref="B353:E353"/>
    <mergeCell ref="A314:O314"/>
    <mergeCell ref="D223:E223"/>
    <mergeCell ref="D161:E161"/>
    <mergeCell ref="G6:I6"/>
    <mergeCell ref="B456:E456"/>
    <mergeCell ref="D261:E261"/>
    <mergeCell ref="D325:O325"/>
    <mergeCell ref="L21:O21"/>
    <mergeCell ref="B51:E51"/>
    <mergeCell ref="B284:E284"/>
    <mergeCell ref="A214:O214"/>
    <mergeCell ref="B154:E154"/>
    <mergeCell ref="D359:E359"/>
    <mergeCell ref="B6:E6"/>
    <mergeCell ref="L6:O6"/>
    <mergeCell ref="A417:O417"/>
    <mergeCell ref="D59:E59"/>
    <mergeCell ref="B354:E354"/>
    <mergeCell ref="D88:E88"/>
    <mergeCell ref="D36:L36"/>
    <mergeCell ref="A486:O486"/>
    <mergeCell ref="A146:O146"/>
    <mergeCell ref="D324:E324"/>
    <mergeCell ref="D228:E228"/>
    <mergeCell ref="D428:O428"/>
    <mergeCell ref="B49:E49"/>
    <mergeCell ref="B285:E285"/>
    <mergeCell ref="D530:O530"/>
    <mergeCell ref="A280:O280"/>
    <mergeCell ref="A121:O121"/>
    <mergeCell ref="B12:E12"/>
    <mergeCell ref="L116:O116"/>
    <mergeCell ref="A44:O44"/>
    <mergeCell ref="L12:O12"/>
    <mergeCell ref="B86:E86"/>
    <mergeCell ref="G9:I9"/>
    <mergeCell ref="B151:E151"/>
    <mergeCell ref="A289:O289"/>
    <mergeCell ref="B524:E524"/>
    <mergeCell ref="D127:E127"/>
    <mergeCell ref="L524:O524"/>
    <mergeCell ref="D191:O191"/>
    <mergeCell ref="B425:E425"/>
    <mergeCell ref="B14:E14"/>
    <mergeCell ref="A24:F24"/>
    <mergeCell ref="L14:O14"/>
    <mergeCell ref="B13:E13"/>
    <mergeCell ref="A358:O358"/>
    <mergeCell ref="D497:O497"/>
    <mergeCell ref="D462:E462"/>
    <mergeCell ref="D291:O291"/>
    <mergeCell ref="D295:E295"/>
    <mergeCell ref="B388:E388"/>
    <mergeCell ref="B422:E422"/>
    <mergeCell ref="G13:I13"/>
    <mergeCell ref="D360:O360"/>
    <mergeCell ref="H29:O29"/>
    <mergeCell ref="D329:E329"/>
    <mergeCell ref="A3:O3"/>
    <mergeCell ref="G15:I15"/>
    <mergeCell ref="L251:O251"/>
    <mergeCell ref="B221:E221"/>
    <mergeCell ref="L17:O17"/>
    <mergeCell ref="L352:O352"/>
    <mergeCell ref="B389:E389"/>
    <mergeCell ref="L82:O82"/>
    <mergeCell ref="H24:O25"/>
    <mergeCell ref="A29:F29"/>
    <mergeCell ref="D394:O394"/>
    <mergeCell ref="L19:O19"/>
    <mergeCell ref="A21:E21"/>
    <mergeCell ref="G16:I16"/>
    <mergeCell ref="B320:E320"/>
    <mergeCell ref="B391:E391"/>
    <mergeCell ref="L5:O5"/>
  </mergeCells>
  <pageMargins left="0.5" right="0.5" top="0.6" bottom="0.6" header="0.5" footer="0.5"/>
  <pageSetup paperSize="9" fitToHeight="0" orientation="portrait"/>
  <rowBreaks count="15" manualBreakCount="15">
    <brk id="37" max="16383" man="1"/>
    <brk id="71" max="16383" man="1"/>
    <brk id="105" max="16383" man="1"/>
    <brk id="139" max="16383" man="1"/>
    <brk id="173" max="16383" man="1"/>
    <brk id="207" max="16383" man="1"/>
    <brk id="240" max="16383" man="1"/>
    <brk id="273" max="16383" man="1"/>
    <brk id="307" max="16383" man="1"/>
    <brk id="341" max="16383" man="1"/>
    <brk id="376" max="16383" man="1"/>
    <brk id="410" max="16383" man="1"/>
    <brk id="444" max="16383" man="1"/>
    <brk id="479" max="16383" man="1"/>
    <brk id="51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83"/>
  <sheetViews>
    <sheetView workbookViewId="0"/>
  </sheetViews>
  <sheetFormatPr defaultRowHeight="14.5" x14ac:dyDescent="0.35"/>
  <cols>
    <col min="1" max="1" width="6.90625" customWidth="1"/>
    <col min="2" max="2" width="11.26953125" customWidth="1"/>
    <col min="3" max="3" width="3.7265625" customWidth="1"/>
    <col min="4" max="4" width="9.08984375" customWidth="1"/>
    <col min="5" max="5" width="13.6328125" customWidth="1"/>
    <col min="6" max="6" width="9.453125" customWidth="1"/>
    <col min="7" max="7" width="5.7265625" customWidth="1"/>
    <col min="8" max="8" width="11.453125" customWidth="1"/>
    <col min="9" max="9" width="14.453125" customWidth="1"/>
    <col min="10" max="10" width="4.08984375" customWidth="1"/>
    <col min="11" max="11" width="13" customWidth="1"/>
    <col min="12" max="12" width="3.90625" customWidth="1"/>
    <col min="13" max="13" width="16" customWidth="1"/>
  </cols>
  <sheetData>
    <row r="1" spans="1:13" x14ac:dyDescent="0.35">
      <c r="A1" s="42" t="s">
        <v>233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35">
      <c r="A2" s="33" t="s">
        <v>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x14ac:dyDescent="0.35">
      <c r="A3" s="33" t="s">
        <v>234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15" customHeight="1" x14ac:dyDescent="0.35">
      <c r="A5" s="3" t="s">
        <v>96</v>
      </c>
      <c r="B5" s="26" t="s">
        <v>4</v>
      </c>
      <c r="C5" s="23"/>
      <c r="D5" s="23"/>
      <c r="E5" s="23"/>
      <c r="F5" s="3" t="s">
        <v>97</v>
      </c>
      <c r="G5" s="26" t="s">
        <v>100</v>
      </c>
      <c r="H5" s="23"/>
      <c r="I5" s="23"/>
      <c r="J5" s="26" t="s">
        <v>54</v>
      </c>
      <c r="K5" s="23"/>
      <c r="L5" s="23"/>
      <c r="M5" s="23"/>
    </row>
    <row r="6" spans="1:13" ht="15" customHeight="1" x14ac:dyDescent="0.35">
      <c r="A6" s="13">
        <v>1</v>
      </c>
      <c r="B6" s="39" t="s">
        <v>12</v>
      </c>
      <c r="C6" s="23"/>
      <c r="D6" s="23"/>
      <c r="E6" s="23"/>
      <c r="F6" s="13">
        <v>4</v>
      </c>
      <c r="G6" s="30">
        <f>D52</f>
        <v>3292368</v>
      </c>
      <c r="H6" s="23"/>
      <c r="I6" s="23"/>
      <c r="J6" s="34"/>
      <c r="K6" s="23"/>
      <c r="L6" s="23"/>
      <c r="M6" s="23"/>
    </row>
    <row r="7" spans="1:13" ht="15" customHeight="1" x14ac:dyDescent="0.35">
      <c r="A7" s="13">
        <v>2</v>
      </c>
      <c r="B7" s="39" t="s">
        <v>13</v>
      </c>
      <c r="C7" s="23"/>
      <c r="D7" s="23"/>
      <c r="E7" s="23"/>
      <c r="F7" s="13">
        <v>5</v>
      </c>
      <c r="G7" s="30">
        <f>D87</f>
        <v>3745524</v>
      </c>
      <c r="H7" s="23"/>
      <c r="I7" s="23"/>
      <c r="J7" s="34"/>
      <c r="K7" s="23"/>
      <c r="L7" s="23"/>
      <c r="M7" s="23"/>
    </row>
    <row r="8" spans="1:13" ht="15" customHeight="1" x14ac:dyDescent="0.35">
      <c r="A8" s="13">
        <v>3</v>
      </c>
      <c r="B8" s="39" t="s">
        <v>14</v>
      </c>
      <c r="C8" s="23"/>
      <c r="D8" s="23"/>
      <c r="E8" s="23"/>
      <c r="F8" s="13">
        <v>5</v>
      </c>
      <c r="G8" s="30">
        <f>D122</f>
        <v>3622584</v>
      </c>
      <c r="H8" s="23"/>
      <c r="I8" s="23"/>
      <c r="J8" s="34"/>
      <c r="K8" s="23"/>
      <c r="L8" s="23"/>
      <c r="M8" s="23"/>
    </row>
    <row r="9" spans="1:13" ht="15" customHeight="1" x14ac:dyDescent="0.35">
      <c r="A9" s="13">
        <v>4</v>
      </c>
      <c r="B9" s="39" t="s">
        <v>15</v>
      </c>
      <c r="C9" s="23"/>
      <c r="D9" s="23"/>
      <c r="E9" s="23"/>
      <c r="F9" s="13">
        <v>5</v>
      </c>
      <c r="G9" s="30">
        <f>D157</f>
        <v>4001136</v>
      </c>
      <c r="H9" s="23"/>
      <c r="I9" s="23"/>
      <c r="J9" s="34"/>
      <c r="K9" s="23"/>
      <c r="L9" s="23"/>
      <c r="M9" s="23"/>
    </row>
    <row r="10" spans="1:13" ht="15" customHeight="1" x14ac:dyDescent="0.35">
      <c r="A10" s="13">
        <v>5</v>
      </c>
      <c r="B10" s="39" t="s">
        <v>16</v>
      </c>
      <c r="C10" s="23"/>
      <c r="D10" s="23"/>
      <c r="E10" s="23"/>
      <c r="F10" s="13">
        <v>4</v>
      </c>
      <c r="G10" s="30">
        <f>D191</f>
        <v>2993760</v>
      </c>
      <c r="H10" s="23"/>
      <c r="I10" s="23"/>
      <c r="J10" s="34"/>
      <c r="K10" s="23"/>
      <c r="L10" s="23"/>
      <c r="M10" s="23"/>
    </row>
    <row r="11" spans="1:13" ht="15" customHeight="1" x14ac:dyDescent="0.35">
      <c r="A11" s="13">
        <v>6</v>
      </c>
      <c r="B11" s="39" t="s">
        <v>17</v>
      </c>
      <c r="C11" s="23"/>
      <c r="D11" s="23"/>
      <c r="E11" s="23"/>
      <c r="F11" s="13">
        <v>4</v>
      </c>
      <c r="G11" s="30">
        <f>D225</f>
        <v>3154320</v>
      </c>
      <c r="H11" s="23"/>
      <c r="I11" s="23"/>
      <c r="J11" s="34" t="s">
        <v>101</v>
      </c>
      <c r="K11" s="23"/>
      <c r="L11" s="23"/>
      <c r="M11" s="23"/>
    </row>
    <row r="12" spans="1:13" ht="15" customHeight="1" x14ac:dyDescent="0.35">
      <c r="A12" s="13">
        <v>7</v>
      </c>
      <c r="B12" s="39" t="s">
        <v>18</v>
      </c>
      <c r="C12" s="23"/>
      <c r="D12" s="23"/>
      <c r="E12" s="23"/>
      <c r="F12" s="13">
        <v>4</v>
      </c>
      <c r="G12" s="30">
        <f>D259</f>
        <v>3331428</v>
      </c>
      <c r="H12" s="23"/>
      <c r="I12" s="23"/>
      <c r="J12" s="34"/>
      <c r="K12" s="23"/>
      <c r="L12" s="23"/>
      <c r="M12" s="23"/>
    </row>
    <row r="13" spans="1:13" ht="15" customHeight="1" x14ac:dyDescent="0.35">
      <c r="A13" s="13">
        <v>8</v>
      </c>
      <c r="B13" s="39" t="s">
        <v>19</v>
      </c>
      <c r="C13" s="23"/>
      <c r="D13" s="23"/>
      <c r="E13" s="23"/>
      <c r="F13" s="13">
        <v>4</v>
      </c>
      <c r="G13" s="30">
        <f>D293</f>
        <v>3534924</v>
      </c>
      <c r="H13" s="23"/>
      <c r="I13" s="23"/>
      <c r="J13" s="34"/>
      <c r="K13" s="23"/>
      <c r="L13" s="23"/>
      <c r="M13" s="23"/>
    </row>
    <row r="14" spans="1:13" ht="15" customHeight="1" x14ac:dyDescent="0.35">
      <c r="A14" s="13">
        <v>9</v>
      </c>
      <c r="B14" s="39" t="s">
        <v>20</v>
      </c>
      <c r="C14" s="23"/>
      <c r="D14" s="23"/>
      <c r="E14" s="23"/>
      <c r="F14" s="13">
        <v>5</v>
      </c>
      <c r="G14" s="30">
        <f>D328</f>
        <v>3953868</v>
      </c>
      <c r="H14" s="23"/>
      <c r="I14" s="23"/>
      <c r="J14" s="34"/>
      <c r="K14" s="23"/>
      <c r="L14" s="23"/>
      <c r="M14" s="23"/>
    </row>
    <row r="15" spans="1:13" ht="27" customHeight="1" x14ac:dyDescent="0.35">
      <c r="A15" s="13">
        <v>10</v>
      </c>
      <c r="B15" s="39" t="s">
        <v>21</v>
      </c>
      <c r="C15" s="23"/>
      <c r="D15" s="23"/>
      <c r="E15" s="23"/>
      <c r="F15" s="13">
        <v>5</v>
      </c>
      <c r="G15" s="30">
        <f>D363</f>
        <v>3698712</v>
      </c>
      <c r="H15" s="23"/>
      <c r="I15" s="23"/>
      <c r="J15" s="34" t="s">
        <v>235</v>
      </c>
      <c r="K15" s="23"/>
      <c r="L15" s="23"/>
      <c r="M15" s="23"/>
    </row>
    <row r="16" spans="1:13" ht="15" customHeight="1" x14ac:dyDescent="0.35">
      <c r="A16" s="13">
        <v>11</v>
      </c>
      <c r="B16" s="39" t="s">
        <v>22</v>
      </c>
      <c r="C16" s="23"/>
      <c r="D16" s="23"/>
      <c r="E16" s="23"/>
      <c r="F16" s="13">
        <v>5</v>
      </c>
      <c r="G16" s="30">
        <f>D398</f>
        <v>3813936</v>
      </c>
      <c r="H16" s="23"/>
      <c r="I16" s="23"/>
      <c r="J16" s="34" t="s">
        <v>236</v>
      </c>
      <c r="K16" s="23"/>
      <c r="L16" s="23"/>
      <c r="M16" s="23"/>
    </row>
    <row r="17" spans="1:13" ht="15" customHeight="1" x14ac:dyDescent="0.35">
      <c r="A17" s="13">
        <v>12</v>
      </c>
      <c r="B17" s="39" t="s">
        <v>23</v>
      </c>
      <c r="C17" s="23"/>
      <c r="D17" s="23"/>
      <c r="E17" s="23"/>
      <c r="F17" s="13">
        <v>4</v>
      </c>
      <c r="G17" s="30">
        <f>D432</f>
        <v>3408912</v>
      </c>
      <c r="H17" s="23"/>
      <c r="I17" s="23"/>
      <c r="J17" s="34"/>
      <c r="K17" s="23"/>
      <c r="L17" s="23"/>
      <c r="M17" s="23"/>
    </row>
    <row r="18" spans="1:13" ht="15" customHeight="1" x14ac:dyDescent="0.35">
      <c r="A18" s="13">
        <v>13</v>
      </c>
      <c r="B18" s="39" t="s">
        <v>24</v>
      </c>
      <c r="C18" s="23"/>
      <c r="D18" s="23"/>
      <c r="E18" s="23"/>
      <c r="F18" s="13">
        <v>5</v>
      </c>
      <c r="G18" s="30">
        <f>D467</f>
        <v>3717084</v>
      </c>
      <c r="H18" s="23"/>
      <c r="I18" s="23"/>
      <c r="J18" s="34"/>
      <c r="K18" s="23"/>
      <c r="L18" s="23"/>
      <c r="M18" s="23"/>
    </row>
    <row r="19" spans="1:13" x14ac:dyDescent="0.35">
      <c r="A19" s="36" t="s">
        <v>78</v>
      </c>
      <c r="B19" s="23"/>
      <c r="C19" s="23"/>
      <c r="D19" s="23"/>
      <c r="E19" s="23"/>
      <c r="F19" s="16">
        <f>SUM(F6:F18)</f>
        <v>59</v>
      </c>
      <c r="G19" s="41">
        <f>SUM(G6:G18)</f>
        <v>46268556</v>
      </c>
      <c r="H19" s="23"/>
      <c r="I19" s="23"/>
      <c r="J19" s="23"/>
      <c r="K19" s="23"/>
      <c r="L19" s="23"/>
      <c r="M19" s="23"/>
    </row>
    <row r="21" spans="1:13" x14ac:dyDescent="0.35">
      <c r="H21" s="43" t="s">
        <v>109</v>
      </c>
      <c r="I21" s="28"/>
      <c r="J21" s="28"/>
      <c r="K21" s="28"/>
      <c r="L21" s="28"/>
      <c r="M21" s="28"/>
    </row>
    <row r="22" spans="1:13" x14ac:dyDescent="0.35">
      <c r="A22" s="35" t="s">
        <v>110</v>
      </c>
      <c r="B22" s="28"/>
      <c r="C22" s="28"/>
      <c r="D22" s="28"/>
      <c r="E22" s="28"/>
      <c r="F22" s="28"/>
      <c r="H22" s="35" t="s">
        <v>111</v>
      </c>
      <c r="I22" s="28"/>
      <c r="J22" s="28"/>
      <c r="K22" s="28"/>
      <c r="L22" s="28"/>
      <c r="M22" s="28"/>
    </row>
    <row r="23" spans="1:13" x14ac:dyDescent="0.35">
      <c r="H23" s="28"/>
      <c r="I23" s="28"/>
      <c r="J23" s="28"/>
      <c r="K23" s="28"/>
      <c r="L23" s="28"/>
      <c r="M23" s="28"/>
    </row>
    <row r="27" spans="1:13" x14ac:dyDescent="0.35">
      <c r="A27" s="32" t="s">
        <v>62</v>
      </c>
      <c r="B27" s="28"/>
      <c r="C27" s="28"/>
      <c r="D27" s="28"/>
      <c r="E27" s="28"/>
      <c r="F27" s="28"/>
      <c r="H27" s="32" t="s">
        <v>75</v>
      </c>
      <c r="I27" s="28"/>
      <c r="J27" s="28"/>
      <c r="K27" s="28"/>
      <c r="L27" s="28"/>
      <c r="M27" s="28"/>
    </row>
    <row r="29" spans="1:13" x14ac:dyDescent="0.35">
      <c r="D29" s="35" t="s">
        <v>112</v>
      </c>
      <c r="E29" s="28"/>
      <c r="F29" s="28"/>
      <c r="G29" s="28"/>
      <c r="H29" s="28"/>
      <c r="I29" s="28"/>
      <c r="J29" s="28"/>
    </row>
    <row r="34" spans="1:13" x14ac:dyDescent="0.35">
      <c r="D34" s="32" t="s">
        <v>113</v>
      </c>
      <c r="E34" s="28"/>
      <c r="F34" s="28"/>
      <c r="G34" s="28"/>
      <c r="H34" s="28"/>
      <c r="I34" s="28"/>
      <c r="J34" s="28"/>
    </row>
    <row r="37" spans="1:13" ht="15.5" x14ac:dyDescent="0.35">
      <c r="B37" s="1" t="s">
        <v>114</v>
      </c>
    </row>
    <row r="38" spans="1:13" ht="15.5" x14ac:dyDescent="0.35">
      <c r="B38" s="1" t="s">
        <v>115</v>
      </c>
    </row>
    <row r="39" spans="1:13" x14ac:dyDescent="0.35">
      <c r="B39" s="18" t="s">
        <v>116</v>
      </c>
    </row>
    <row r="40" spans="1:13" x14ac:dyDescent="0.35">
      <c r="A40" s="19"/>
      <c r="B40" s="20" t="s">
        <v>117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2" spans="1:13" x14ac:dyDescent="0.35">
      <c r="A42" s="37" t="s">
        <v>118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x14ac:dyDescent="0.35">
      <c r="J43" t="s">
        <v>119</v>
      </c>
      <c r="L43" t="s">
        <v>120</v>
      </c>
      <c r="M43" t="s">
        <v>121</v>
      </c>
    </row>
    <row r="44" spans="1:13" x14ac:dyDescent="0.35">
      <c r="A44" t="s">
        <v>122</v>
      </c>
      <c r="D44" s="2" t="s">
        <v>237</v>
      </c>
    </row>
    <row r="46" spans="1:13" x14ac:dyDescent="0.35">
      <c r="A46" s="3" t="s">
        <v>124</v>
      </c>
      <c r="B46" s="26" t="s">
        <v>125</v>
      </c>
      <c r="C46" s="23"/>
      <c r="D46" s="23"/>
      <c r="E46" s="23"/>
      <c r="F46" s="3" t="s">
        <v>78</v>
      </c>
      <c r="G46" s="3" t="s">
        <v>126</v>
      </c>
      <c r="H46" s="3" t="s">
        <v>127</v>
      </c>
      <c r="I46" s="3" t="s">
        <v>78</v>
      </c>
      <c r="J46" s="26" t="s">
        <v>131</v>
      </c>
      <c r="K46" s="23"/>
      <c r="L46" s="23"/>
      <c r="M46" s="23"/>
    </row>
    <row r="47" spans="1:13" ht="22" customHeight="1" x14ac:dyDescent="0.35">
      <c r="A47" s="21" t="s">
        <v>132</v>
      </c>
      <c r="B47" s="29" t="s">
        <v>171</v>
      </c>
      <c r="C47" s="23"/>
      <c r="D47" s="23"/>
      <c r="E47" s="23"/>
      <c r="F47" s="21">
        <v>4</v>
      </c>
      <c r="G47" s="21">
        <v>3</v>
      </c>
      <c r="H47" s="7">
        <v>54652</v>
      </c>
      <c r="I47" s="7">
        <f>F47*G47*H47</f>
        <v>655824</v>
      </c>
      <c r="J47">
        <v>1</v>
      </c>
      <c r="K47" t="s">
        <v>134</v>
      </c>
    </row>
    <row r="48" spans="1:13" ht="22" customHeight="1" x14ac:dyDescent="0.35">
      <c r="A48" s="21" t="s">
        <v>135</v>
      </c>
      <c r="B48" s="29" t="s">
        <v>157</v>
      </c>
      <c r="C48" s="23"/>
      <c r="D48" s="23"/>
      <c r="E48" s="23"/>
      <c r="F48" s="21">
        <v>4</v>
      </c>
      <c r="G48" s="21">
        <v>3</v>
      </c>
      <c r="H48" s="7">
        <v>71138</v>
      </c>
      <c r="I48" s="7">
        <f>F48*G48*H48</f>
        <v>853656</v>
      </c>
      <c r="L48">
        <v>2</v>
      </c>
      <c r="M48" t="s">
        <v>134</v>
      </c>
    </row>
    <row r="49" spans="1:13" ht="22" customHeight="1" x14ac:dyDescent="0.35">
      <c r="A49" s="21" t="s">
        <v>137</v>
      </c>
      <c r="B49" s="29" t="s">
        <v>217</v>
      </c>
      <c r="C49" s="23"/>
      <c r="D49" s="23"/>
      <c r="E49" s="23"/>
      <c r="F49" s="21">
        <v>4</v>
      </c>
      <c r="G49" s="21">
        <v>3</v>
      </c>
      <c r="H49" s="7">
        <v>74287</v>
      </c>
      <c r="I49" s="7">
        <f>F49*G49*H49</f>
        <v>891444</v>
      </c>
      <c r="J49">
        <v>3</v>
      </c>
      <c r="K49" t="s">
        <v>134</v>
      </c>
    </row>
    <row r="50" spans="1:13" ht="22" customHeight="1" x14ac:dyDescent="0.35">
      <c r="A50" s="21" t="s">
        <v>139</v>
      </c>
      <c r="B50" s="29" t="s">
        <v>218</v>
      </c>
      <c r="C50" s="23"/>
      <c r="D50" s="23"/>
      <c r="E50" s="23"/>
      <c r="F50" s="21">
        <v>4</v>
      </c>
      <c r="G50" s="21">
        <v>3</v>
      </c>
      <c r="H50" s="7">
        <v>74287</v>
      </c>
      <c r="I50" s="7">
        <f>F50*G50*H50</f>
        <v>891444</v>
      </c>
      <c r="L50">
        <v>4</v>
      </c>
      <c r="M50" t="s">
        <v>134</v>
      </c>
    </row>
    <row r="52" spans="1:13" x14ac:dyDescent="0.35">
      <c r="A52" t="s">
        <v>141</v>
      </c>
      <c r="C52" t="s">
        <v>120</v>
      </c>
      <c r="D52" s="40">
        <f>SUM(I47:I50)</f>
        <v>3292368</v>
      </c>
      <c r="E52" s="28"/>
    </row>
    <row r="53" spans="1:13" ht="30" customHeight="1" x14ac:dyDescent="0.35">
      <c r="A53" s="22" t="s">
        <v>142</v>
      </c>
      <c r="C53" s="22" t="s">
        <v>120</v>
      </c>
      <c r="D53" s="31" t="s">
        <v>238</v>
      </c>
      <c r="E53" s="28"/>
      <c r="F53" s="28"/>
      <c r="G53" s="28"/>
      <c r="H53" s="28"/>
      <c r="I53" s="28"/>
      <c r="J53" s="28"/>
      <c r="K53" s="28"/>
      <c r="L53" s="28"/>
      <c r="M53" s="28"/>
    </row>
    <row r="54" spans="1:13" x14ac:dyDescent="0.35">
      <c r="A54" t="s">
        <v>144</v>
      </c>
      <c r="C54" t="s">
        <v>120</v>
      </c>
      <c r="D54" t="s">
        <v>239</v>
      </c>
    </row>
    <row r="55" spans="1:13" x14ac:dyDescent="0.35">
      <c r="D55" t="s">
        <v>240</v>
      </c>
    </row>
    <row r="57" spans="1:13" x14ac:dyDescent="0.35">
      <c r="A57" s="2" t="s">
        <v>147</v>
      </c>
      <c r="D57" s="27" t="s">
        <v>131</v>
      </c>
      <c r="E57" s="28"/>
      <c r="F57" s="2" t="s">
        <v>148</v>
      </c>
      <c r="K57" s="2" t="s">
        <v>149</v>
      </c>
      <c r="M57" s="2" t="s">
        <v>78</v>
      </c>
    </row>
    <row r="59" spans="1:13" x14ac:dyDescent="0.35">
      <c r="A59" t="s">
        <v>150</v>
      </c>
      <c r="K59" t="s">
        <v>241</v>
      </c>
      <c r="M59" s="10">
        <f>D52</f>
        <v>3292368</v>
      </c>
    </row>
    <row r="62" spans="1:13" x14ac:dyDescent="0.35">
      <c r="A62" t="s">
        <v>152</v>
      </c>
    </row>
    <row r="65" spans="1:13" x14ac:dyDescent="0.35">
      <c r="A65" t="s">
        <v>153</v>
      </c>
    </row>
    <row r="68" spans="1:13" x14ac:dyDescent="0.35">
      <c r="A68" t="s">
        <v>154</v>
      </c>
    </row>
    <row r="71" spans="1:13" ht="15.5" x14ac:dyDescent="0.35">
      <c r="B71" s="1" t="s">
        <v>114</v>
      </c>
    </row>
    <row r="72" spans="1:13" ht="15.5" x14ac:dyDescent="0.35">
      <c r="B72" s="1" t="s">
        <v>115</v>
      </c>
    </row>
    <row r="73" spans="1:13" x14ac:dyDescent="0.35">
      <c r="B73" s="18" t="s">
        <v>116</v>
      </c>
    </row>
    <row r="74" spans="1:13" x14ac:dyDescent="0.35">
      <c r="A74" s="19"/>
      <c r="B74" s="20" t="s">
        <v>117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6" spans="1:13" x14ac:dyDescent="0.35">
      <c r="A76" s="37" t="s">
        <v>118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1:13" x14ac:dyDescent="0.35">
      <c r="J77" t="s">
        <v>119</v>
      </c>
      <c r="L77" t="s">
        <v>120</v>
      </c>
      <c r="M77" t="s">
        <v>121</v>
      </c>
    </row>
    <row r="78" spans="1:13" x14ac:dyDescent="0.35">
      <c r="A78" t="s">
        <v>122</v>
      </c>
      <c r="D78" s="2" t="s">
        <v>242</v>
      </c>
    </row>
    <row r="80" spans="1:13" x14ac:dyDescent="0.35">
      <c r="A80" s="3" t="s">
        <v>124</v>
      </c>
      <c r="B80" s="26" t="s">
        <v>125</v>
      </c>
      <c r="C80" s="23"/>
      <c r="D80" s="23"/>
      <c r="E80" s="23"/>
      <c r="F80" s="3" t="s">
        <v>78</v>
      </c>
      <c r="G80" s="3" t="s">
        <v>126</v>
      </c>
      <c r="H80" s="3" t="s">
        <v>127</v>
      </c>
      <c r="I80" s="3" t="s">
        <v>78</v>
      </c>
      <c r="J80" s="26" t="s">
        <v>131</v>
      </c>
      <c r="K80" s="23"/>
      <c r="L80" s="23"/>
      <c r="M80" s="23"/>
    </row>
    <row r="81" spans="1:13" ht="22" customHeight="1" x14ac:dyDescent="0.35">
      <c r="A81" s="21" t="s">
        <v>132</v>
      </c>
      <c r="B81" s="29" t="s">
        <v>156</v>
      </c>
      <c r="C81" s="23"/>
      <c r="D81" s="23"/>
      <c r="E81" s="23"/>
      <c r="F81" s="21">
        <v>4</v>
      </c>
      <c r="G81" s="21">
        <v>3</v>
      </c>
      <c r="H81" s="7">
        <v>74287</v>
      </c>
      <c r="I81" s="7">
        <f>F81*G81*H81</f>
        <v>891444</v>
      </c>
      <c r="J81">
        <v>1</v>
      </c>
      <c r="K81" t="s">
        <v>134</v>
      </c>
    </row>
    <row r="82" spans="1:13" ht="22" customHeight="1" x14ac:dyDescent="0.35">
      <c r="A82" s="21" t="s">
        <v>135</v>
      </c>
      <c r="B82" s="29" t="s">
        <v>113</v>
      </c>
      <c r="C82" s="23"/>
      <c r="D82" s="23"/>
      <c r="E82" s="23"/>
      <c r="F82" s="21">
        <v>4</v>
      </c>
      <c r="G82" s="21">
        <v>3</v>
      </c>
      <c r="H82" s="7">
        <v>81375</v>
      </c>
      <c r="I82" s="7">
        <f>F82*G82*H82</f>
        <v>976500</v>
      </c>
      <c r="L82">
        <v>2</v>
      </c>
      <c r="M82" t="s">
        <v>134</v>
      </c>
    </row>
    <row r="83" spans="1:13" ht="22" customHeight="1" x14ac:dyDescent="0.35">
      <c r="A83" s="21" t="s">
        <v>137</v>
      </c>
      <c r="B83" s="29" t="s">
        <v>220</v>
      </c>
      <c r="C83" s="23"/>
      <c r="D83" s="23"/>
      <c r="E83" s="23"/>
      <c r="F83" s="21">
        <v>4</v>
      </c>
      <c r="G83" s="21">
        <v>3</v>
      </c>
      <c r="H83" s="7">
        <v>66465</v>
      </c>
      <c r="I83" s="7">
        <f>F83*G83*H83</f>
        <v>797580</v>
      </c>
      <c r="J83">
        <v>3</v>
      </c>
      <c r="K83" t="s">
        <v>134</v>
      </c>
    </row>
    <row r="84" spans="1:13" ht="22" customHeight="1" x14ac:dyDescent="0.35">
      <c r="A84" s="21" t="s">
        <v>139</v>
      </c>
      <c r="B84" s="29" t="s">
        <v>138</v>
      </c>
      <c r="C84" s="23"/>
      <c r="D84" s="23"/>
      <c r="E84" s="23"/>
      <c r="F84" s="21">
        <v>4</v>
      </c>
      <c r="G84" s="21">
        <v>3</v>
      </c>
      <c r="H84" s="7">
        <v>45000</v>
      </c>
      <c r="I84" s="7">
        <f>F84*G84*H84</f>
        <v>540000</v>
      </c>
      <c r="L84">
        <v>4</v>
      </c>
      <c r="M84" t="s">
        <v>134</v>
      </c>
    </row>
    <row r="85" spans="1:13" ht="22" customHeight="1" x14ac:dyDescent="0.35">
      <c r="A85" s="21" t="s">
        <v>202</v>
      </c>
      <c r="B85" s="29" t="s">
        <v>158</v>
      </c>
      <c r="C85" s="23"/>
      <c r="D85" s="23"/>
      <c r="E85" s="23"/>
      <c r="F85" s="21">
        <v>4</v>
      </c>
      <c r="G85" s="21">
        <v>3</v>
      </c>
      <c r="H85" s="7">
        <v>45000</v>
      </c>
      <c r="I85" s="7">
        <f>F85*G85*H85</f>
        <v>540000</v>
      </c>
      <c r="J85">
        <v>5</v>
      </c>
      <c r="K85" t="s">
        <v>134</v>
      </c>
    </row>
    <row r="87" spans="1:13" x14ac:dyDescent="0.35">
      <c r="A87" t="s">
        <v>141</v>
      </c>
      <c r="C87" t="s">
        <v>120</v>
      </c>
      <c r="D87" s="40">
        <f>SUM(I81:I85)</f>
        <v>3745524</v>
      </c>
      <c r="E87" s="28"/>
    </row>
    <row r="88" spans="1:13" ht="30" customHeight="1" x14ac:dyDescent="0.35">
      <c r="A88" s="22" t="s">
        <v>142</v>
      </c>
      <c r="C88" s="22" t="s">
        <v>120</v>
      </c>
      <c r="D88" s="31" t="s">
        <v>243</v>
      </c>
      <c r="E88" s="28"/>
      <c r="F88" s="28"/>
      <c r="G88" s="28"/>
      <c r="H88" s="28"/>
      <c r="I88" s="28"/>
      <c r="J88" s="28"/>
      <c r="K88" s="28"/>
      <c r="L88" s="28"/>
      <c r="M88" s="28"/>
    </row>
    <row r="89" spans="1:13" x14ac:dyDescent="0.35">
      <c r="A89" t="s">
        <v>144</v>
      </c>
      <c r="C89" t="s">
        <v>120</v>
      </c>
      <c r="D89" t="s">
        <v>239</v>
      </c>
    </row>
    <row r="90" spans="1:13" x14ac:dyDescent="0.35">
      <c r="D90" t="s">
        <v>240</v>
      </c>
    </row>
    <row r="92" spans="1:13" x14ac:dyDescent="0.35">
      <c r="A92" s="2" t="s">
        <v>147</v>
      </c>
      <c r="D92" s="27" t="s">
        <v>131</v>
      </c>
      <c r="E92" s="28"/>
      <c r="F92" s="2" t="s">
        <v>148</v>
      </c>
      <c r="K92" s="2" t="s">
        <v>149</v>
      </c>
      <c r="M92" s="2" t="s">
        <v>78</v>
      </c>
    </row>
    <row r="94" spans="1:13" x14ac:dyDescent="0.35">
      <c r="A94" t="s">
        <v>150</v>
      </c>
      <c r="K94" t="s">
        <v>241</v>
      </c>
      <c r="M94" s="10">
        <f>D87</f>
        <v>3745524</v>
      </c>
    </row>
    <row r="97" spans="1:13" x14ac:dyDescent="0.35">
      <c r="A97" t="s">
        <v>152</v>
      </c>
    </row>
    <row r="100" spans="1:13" x14ac:dyDescent="0.35">
      <c r="A100" t="s">
        <v>153</v>
      </c>
    </row>
    <row r="103" spans="1:13" x14ac:dyDescent="0.35">
      <c r="A103" t="s">
        <v>154</v>
      </c>
    </row>
    <row r="106" spans="1:13" ht="15.5" x14ac:dyDescent="0.35">
      <c r="B106" s="1" t="s">
        <v>114</v>
      </c>
    </row>
    <row r="107" spans="1:13" ht="15.5" x14ac:dyDescent="0.35">
      <c r="B107" s="1" t="s">
        <v>115</v>
      </c>
    </row>
    <row r="108" spans="1:13" x14ac:dyDescent="0.35">
      <c r="B108" s="18" t="s">
        <v>116</v>
      </c>
    </row>
    <row r="109" spans="1:13" x14ac:dyDescent="0.35">
      <c r="A109" s="19"/>
      <c r="B109" s="20" t="s">
        <v>117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1" spans="1:13" x14ac:dyDescent="0.35">
      <c r="A111" s="37" t="s">
        <v>118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3" x14ac:dyDescent="0.35">
      <c r="J112" t="s">
        <v>119</v>
      </c>
      <c r="L112" t="s">
        <v>120</v>
      </c>
      <c r="M112" t="s">
        <v>121</v>
      </c>
    </row>
    <row r="113" spans="1:13" x14ac:dyDescent="0.35">
      <c r="A113" t="s">
        <v>122</v>
      </c>
      <c r="D113" s="2" t="s">
        <v>244</v>
      </c>
    </row>
    <row r="115" spans="1:13" x14ac:dyDescent="0.35">
      <c r="A115" s="3" t="s">
        <v>124</v>
      </c>
      <c r="B115" s="26" t="s">
        <v>125</v>
      </c>
      <c r="C115" s="23"/>
      <c r="D115" s="23"/>
      <c r="E115" s="23"/>
      <c r="F115" s="3" t="s">
        <v>78</v>
      </c>
      <c r="G115" s="3" t="s">
        <v>126</v>
      </c>
      <c r="H115" s="3" t="s">
        <v>127</v>
      </c>
      <c r="I115" s="3" t="s">
        <v>78</v>
      </c>
      <c r="J115" s="26" t="s">
        <v>131</v>
      </c>
      <c r="K115" s="23"/>
      <c r="L115" s="23"/>
      <c r="M115" s="23"/>
    </row>
    <row r="116" spans="1:13" ht="22" customHeight="1" x14ac:dyDescent="0.35">
      <c r="A116" s="21" t="s">
        <v>132</v>
      </c>
      <c r="B116" s="29" t="s">
        <v>176</v>
      </c>
      <c r="C116" s="23"/>
      <c r="D116" s="23"/>
      <c r="E116" s="23"/>
      <c r="F116" s="21">
        <v>4</v>
      </c>
      <c r="G116" s="21">
        <v>3</v>
      </c>
      <c r="H116" s="7">
        <v>71138</v>
      </c>
      <c r="I116" s="7">
        <f>F116*G116*H116</f>
        <v>853656</v>
      </c>
      <c r="J116">
        <v>1</v>
      </c>
      <c r="K116" t="s">
        <v>134</v>
      </c>
    </row>
    <row r="117" spans="1:13" ht="22" customHeight="1" x14ac:dyDescent="0.35">
      <c r="A117" s="21" t="s">
        <v>135</v>
      </c>
      <c r="B117" s="29" t="s">
        <v>177</v>
      </c>
      <c r="C117" s="23"/>
      <c r="D117" s="23"/>
      <c r="E117" s="23"/>
      <c r="F117" s="21">
        <v>4</v>
      </c>
      <c r="G117" s="21">
        <v>3</v>
      </c>
      <c r="H117" s="7">
        <v>63787</v>
      </c>
      <c r="I117" s="7">
        <f>F117*G117*H117</f>
        <v>765444</v>
      </c>
      <c r="L117">
        <v>2</v>
      </c>
      <c r="M117" t="s">
        <v>134</v>
      </c>
    </row>
    <row r="118" spans="1:13" ht="22" customHeight="1" x14ac:dyDescent="0.35">
      <c r="A118" s="21" t="s">
        <v>137</v>
      </c>
      <c r="B118" s="29" t="s">
        <v>175</v>
      </c>
      <c r="C118" s="23"/>
      <c r="D118" s="23"/>
      <c r="E118" s="23"/>
      <c r="F118" s="21">
        <v>4</v>
      </c>
      <c r="G118" s="21">
        <v>3</v>
      </c>
      <c r="H118" s="7">
        <v>54652</v>
      </c>
      <c r="I118" s="7">
        <f>F118*G118*H118</f>
        <v>655824</v>
      </c>
      <c r="J118">
        <v>3</v>
      </c>
      <c r="K118" t="s">
        <v>134</v>
      </c>
    </row>
    <row r="119" spans="1:13" ht="22" customHeight="1" x14ac:dyDescent="0.35">
      <c r="A119" s="21" t="s">
        <v>139</v>
      </c>
      <c r="B119" s="29" t="s">
        <v>178</v>
      </c>
      <c r="C119" s="23"/>
      <c r="D119" s="23"/>
      <c r="E119" s="23"/>
      <c r="F119" s="21">
        <v>4</v>
      </c>
      <c r="G119" s="21">
        <v>3</v>
      </c>
      <c r="H119" s="7">
        <v>67305</v>
      </c>
      <c r="I119" s="7">
        <f>F119*G119*H119</f>
        <v>807660</v>
      </c>
      <c r="L119">
        <v>4</v>
      </c>
      <c r="M119" t="s">
        <v>134</v>
      </c>
    </row>
    <row r="120" spans="1:13" ht="22" customHeight="1" x14ac:dyDescent="0.35">
      <c r="A120" s="21" t="s">
        <v>202</v>
      </c>
      <c r="B120" s="29" t="s">
        <v>207</v>
      </c>
      <c r="C120" s="23"/>
      <c r="D120" s="23"/>
      <c r="E120" s="23"/>
      <c r="F120" s="21">
        <v>4</v>
      </c>
      <c r="G120" s="21">
        <v>3</v>
      </c>
      <c r="H120" s="7">
        <v>45000</v>
      </c>
      <c r="I120" s="7">
        <f>F120*G120*H120</f>
        <v>540000</v>
      </c>
      <c r="J120">
        <v>5</v>
      </c>
      <c r="K120" t="s">
        <v>134</v>
      </c>
    </row>
    <row r="122" spans="1:13" x14ac:dyDescent="0.35">
      <c r="A122" t="s">
        <v>141</v>
      </c>
      <c r="C122" t="s">
        <v>120</v>
      </c>
      <c r="D122" s="40">
        <f>SUM(I116:I120)</f>
        <v>3622584</v>
      </c>
      <c r="E122" s="28"/>
    </row>
    <row r="123" spans="1:13" ht="30" customHeight="1" x14ac:dyDescent="0.35">
      <c r="A123" s="22" t="s">
        <v>142</v>
      </c>
      <c r="C123" s="22" t="s">
        <v>120</v>
      </c>
      <c r="D123" s="31" t="s">
        <v>245</v>
      </c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1:13" x14ac:dyDescent="0.35">
      <c r="A124" t="s">
        <v>144</v>
      </c>
      <c r="C124" t="s">
        <v>120</v>
      </c>
      <c r="D124" t="s">
        <v>239</v>
      </c>
    </row>
    <row r="125" spans="1:13" x14ac:dyDescent="0.35">
      <c r="D125" t="s">
        <v>240</v>
      </c>
    </row>
    <row r="127" spans="1:13" x14ac:dyDescent="0.35">
      <c r="A127" s="2" t="s">
        <v>147</v>
      </c>
      <c r="D127" s="27" t="s">
        <v>131</v>
      </c>
      <c r="E127" s="28"/>
      <c r="F127" s="2" t="s">
        <v>148</v>
      </c>
      <c r="K127" s="2" t="s">
        <v>149</v>
      </c>
      <c r="M127" s="2" t="s">
        <v>78</v>
      </c>
    </row>
    <row r="129" spans="1:13" x14ac:dyDescent="0.35">
      <c r="A129" t="s">
        <v>150</v>
      </c>
      <c r="K129" t="s">
        <v>241</v>
      </c>
      <c r="M129" s="10">
        <f>D122</f>
        <v>3622584</v>
      </c>
    </row>
    <row r="132" spans="1:13" x14ac:dyDescent="0.35">
      <c r="A132" t="s">
        <v>152</v>
      </c>
    </row>
    <row r="135" spans="1:13" x14ac:dyDescent="0.35">
      <c r="A135" t="s">
        <v>153</v>
      </c>
    </row>
    <row r="138" spans="1:13" x14ac:dyDescent="0.35">
      <c r="A138" t="s">
        <v>154</v>
      </c>
    </row>
    <row r="141" spans="1:13" ht="15.5" x14ac:dyDescent="0.35">
      <c r="B141" s="1" t="s">
        <v>114</v>
      </c>
    </row>
    <row r="142" spans="1:13" ht="15.5" x14ac:dyDescent="0.35">
      <c r="B142" s="1" t="s">
        <v>115</v>
      </c>
    </row>
    <row r="143" spans="1:13" x14ac:dyDescent="0.35">
      <c r="B143" s="18" t="s">
        <v>116</v>
      </c>
    </row>
    <row r="144" spans="1:13" x14ac:dyDescent="0.35">
      <c r="A144" s="19"/>
      <c r="B144" s="20" t="s">
        <v>117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6" spans="1:13" x14ac:dyDescent="0.35">
      <c r="A146" s="37" t="s">
        <v>118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 spans="1:13" x14ac:dyDescent="0.35">
      <c r="J147" t="s">
        <v>119</v>
      </c>
      <c r="L147" t="s">
        <v>120</v>
      </c>
      <c r="M147" t="s">
        <v>121</v>
      </c>
    </row>
    <row r="148" spans="1:13" x14ac:dyDescent="0.35">
      <c r="A148" t="s">
        <v>122</v>
      </c>
      <c r="D148" s="2" t="s">
        <v>246</v>
      </c>
    </row>
    <row r="150" spans="1:13" x14ac:dyDescent="0.35">
      <c r="A150" s="3" t="s">
        <v>124</v>
      </c>
      <c r="B150" s="26" t="s">
        <v>125</v>
      </c>
      <c r="C150" s="23"/>
      <c r="D150" s="23"/>
      <c r="E150" s="23"/>
      <c r="F150" s="3" t="s">
        <v>78</v>
      </c>
      <c r="G150" s="3" t="s">
        <v>126</v>
      </c>
      <c r="H150" s="3" t="s">
        <v>127</v>
      </c>
      <c r="I150" s="3" t="s">
        <v>78</v>
      </c>
      <c r="J150" s="26" t="s">
        <v>131</v>
      </c>
      <c r="K150" s="23"/>
      <c r="L150" s="23"/>
      <c r="M150" s="23"/>
    </row>
    <row r="151" spans="1:13" ht="22" customHeight="1" x14ac:dyDescent="0.35">
      <c r="A151" s="21" t="s">
        <v>132</v>
      </c>
      <c r="B151" s="29" t="s">
        <v>196</v>
      </c>
      <c r="C151" s="23"/>
      <c r="D151" s="23"/>
      <c r="E151" s="23"/>
      <c r="F151" s="21">
        <v>4</v>
      </c>
      <c r="G151" s="21">
        <v>3</v>
      </c>
      <c r="H151" s="7">
        <v>71138</v>
      </c>
      <c r="I151" s="7">
        <f>F151*G151*H151</f>
        <v>853656</v>
      </c>
      <c r="J151">
        <v>1</v>
      </c>
      <c r="K151" t="s">
        <v>134</v>
      </c>
    </row>
    <row r="152" spans="1:13" ht="22" customHeight="1" x14ac:dyDescent="0.35">
      <c r="A152" s="21" t="s">
        <v>135</v>
      </c>
      <c r="B152" s="29" t="s">
        <v>225</v>
      </c>
      <c r="C152" s="23"/>
      <c r="D152" s="23"/>
      <c r="E152" s="23"/>
      <c r="F152" s="21">
        <v>4</v>
      </c>
      <c r="G152" s="21">
        <v>3</v>
      </c>
      <c r="H152" s="7">
        <v>82688</v>
      </c>
      <c r="I152" s="7">
        <f>F152*G152*H152</f>
        <v>992256</v>
      </c>
      <c r="L152">
        <v>2</v>
      </c>
      <c r="M152" t="s">
        <v>134</v>
      </c>
    </row>
    <row r="153" spans="1:13" ht="22" customHeight="1" x14ac:dyDescent="0.35">
      <c r="A153" s="21" t="s">
        <v>137</v>
      </c>
      <c r="B153" s="29" t="s">
        <v>195</v>
      </c>
      <c r="C153" s="23"/>
      <c r="D153" s="23"/>
      <c r="E153" s="23"/>
      <c r="F153" s="21">
        <v>4</v>
      </c>
      <c r="G153" s="21">
        <v>3</v>
      </c>
      <c r="H153" s="7">
        <v>69825</v>
      </c>
      <c r="I153" s="7">
        <f>F153*G153*H153</f>
        <v>837900</v>
      </c>
      <c r="J153">
        <v>3</v>
      </c>
      <c r="K153" t="s">
        <v>134</v>
      </c>
    </row>
    <row r="154" spans="1:13" ht="22" customHeight="1" x14ac:dyDescent="0.35">
      <c r="A154" s="21" t="s">
        <v>139</v>
      </c>
      <c r="B154" s="29" t="s">
        <v>170</v>
      </c>
      <c r="C154" s="23"/>
      <c r="D154" s="23"/>
      <c r="E154" s="23"/>
      <c r="F154" s="21">
        <v>4</v>
      </c>
      <c r="G154" s="21">
        <v>3</v>
      </c>
      <c r="H154" s="7">
        <v>59115</v>
      </c>
      <c r="I154" s="7">
        <f>F154*G154*H154</f>
        <v>709380</v>
      </c>
      <c r="L154">
        <v>4</v>
      </c>
      <c r="M154" t="s">
        <v>134</v>
      </c>
    </row>
    <row r="155" spans="1:13" ht="22" customHeight="1" x14ac:dyDescent="0.35">
      <c r="A155" s="21" t="s">
        <v>202</v>
      </c>
      <c r="B155" s="29" t="s">
        <v>198</v>
      </c>
      <c r="C155" s="23"/>
      <c r="D155" s="23"/>
      <c r="E155" s="23"/>
      <c r="F155" s="21">
        <v>4</v>
      </c>
      <c r="G155" s="21">
        <v>3</v>
      </c>
      <c r="H155" s="7">
        <v>50662</v>
      </c>
      <c r="I155" s="7">
        <f>F155*G155*H155</f>
        <v>607944</v>
      </c>
      <c r="J155">
        <v>5</v>
      </c>
      <c r="K155" t="s">
        <v>134</v>
      </c>
    </row>
    <row r="157" spans="1:13" x14ac:dyDescent="0.35">
      <c r="A157" t="s">
        <v>141</v>
      </c>
      <c r="C157" t="s">
        <v>120</v>
      </c>
      <c r="D157" s="40">
        <f>SUM(I151:I155)</f>
        <v>4001136</v>
      </c>
      <c r="E157" s="28"/>
    </row>
    <row r="158" spans="1:13" ht="30" customHeight="1" x14ac:dyDescent="0.35">
      <c r="A158" s="22" t="s">
        <v>142</v>
      </c>
      <c r="C158" s="22" t="s">
        <v>120</v>
      </c>
      <c r="D158" s="31" t="s">
        <v>247</v>
      </c>
      <c r="E158" s="28"/>
      <c r="F158" s="28"/>
      <c r="G158" s="28"/>
      <c r="H158" s="28"/>
      <c r="I158" s="28"/>
      <c r="J158" s="28"/>
      <c r="K158" s="28"/>
      <c r="L158" s="28"/>
      <c r="M158" s="28"/>
    </row>
    <row r="159" spans="1:13" x14ac:dyDescent="0.35">
      <c r="A159" t="s">
        <v>144</v>
      </c>
      <c r="C159" t="s">
        <v>120</v>
      </c>
      <c r="D159" t="s">
        <v>239</v>
      </c>
    </row>
    <row r="160" spans="1:13" x14ac:dyDescent="0.35">
      <c r="D160" t="s">
        <v>240</v>
      </c>
    </row>
    <row r="162" spans="1:13" x14ac:dyDescent="0.35">
      <c r="A162" s="2" t="s">
        <v>147</v>
      </c>
      <c r="D162" s="27" t="s">
        <v>131</v>
      </c>
      <c r="E162" s="28"/>
      <c r="F162" s="2" t="s">
        <v>148</v>
      </c>
      <c r="K162" s="2" t="s">
        <v>149</v>
      </c>
      <c r="M162" s="2" t="s">
        <v>78</v>
      </c>
    </row>
    <row r="164" spans="1:13" x14ac:dyDescent="0.35">
      <c r="A164" t="s">
        <v>150</v>
      </c>
      <c r="K164" t="s">
        <v>241</v>
      </c>
      <c r="M164" s="10">
        <f>D157</f>
        <v>4001136</v>
      </c>
    </row>
    <row r="167" spans="1:13" x14ac:dyDescent="0.35">
      <c r="A167" t="s">
        <v>152</v>
      </c>
    </row>
    <row r="170" spans="1:13" x14ac:dyDescent="0.35">
      <c r="A170" t="s">
        <v>153</v>
      </c>
    </row>
    <row r="173" spans="1:13" x14ac:dyDescent="0.35">
      <c r="A173" t="s">
        <v>154</v>
      </c>
    </row>
    <row r="176" spans="1:13" ht="15.5" x14ac:dyDescent="0.35">
      <c r="B176" s="1" t="s">
        <v>114</v>
      </c>
    </row>
    <row r="177" spans="1:13" ht="15.5" x14ac:dyDescent="0.35">
      <c r="B177" s="1" t="s">
        <v>115</v>
      </c>
    </row>
    <row r="178" spans="1:13" x14ac:dyDescent="0.35">
      <c r="B178" s="18" t="s">
        <v>116</v>
      </c>
    </row>
    <row r="179" spans="1:13" x14ac:dyDescent="0.35">
      <c r="A179" s="19"/>
      <c r="B179" s="20" t="s">
        <v>117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</row>
    <row r="181" spans="1:13" x14ac:dyDescent="0.35">
      <c r="A181" s="37" t="s">
        <v>118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spans="1:13" x14ac:dyDescent="0.35">
      <c r="J182" t="s">
        <v>119</v>
      </c>
      <c r="L182" t="s">
        <v>120</v>
      </c>
      <c r="M182" t="s">
        <v>121</v>
      </c>
    </row>
    <row r="183" spans="1:13" x14ac:dyDescent="0.35">
      <c r="A183" t="s">
        <v>122</v>
      </c>
      <c r="D183" s="2" t="s">
        <v>248</v>
      </c>
    </row>
    <row r="185" spans="1:13" x14ac:dyDescent="0.35">
      <c r="A185" s="3" t="s">
        <v>124</v>
      </c>
      <c r="B185" s="26" t="s">
        <v>125</v>
      </c>
      <c r="C185" s="23"/>
      <c r="D185" s="23"/>
      <c r="E185" s="23"/>
      <c r="F185" s="3" t="s">
        <v>78</v>
      </c>
      <c r="G185" s="3" t="s">
        <v>126</v>
      </c>
      <c r="H185" s="3" t="s">
        <v>127</v>
      </c>
      <c r="I185" s="3" t="s">
        <v>78</v>
      </c>
      <c r="J185" s="26" t="s">
        <v>131</v>
      </c>
      <c r="K185" s="23"/>
      <c r="L185" s="23"/>
      <c r="M185" s="23"/>
    </row>
    <row r="186" spans="1:13" ht="22" customHeight="1" x14ac:dyDescent="0.35">
      <c r="A186" s="21" t="s">
        <v>132</v>
      </c>
      <c r="B186" s="29" t="s">
        <v>206</v>
      </c>
      <c r="C186" s="23"/>
      <c r="D186" s="23"/>
      <c r="E186" s="23"/>
      <c r="F186" s="21">
        <v>4</v>
      </c>
      <c r="G186" s="21">
        <v>3</v>
      </c>
      <c r="H186" s="7">
        <v>74287</v>
      </c>
      <c r="I186" s="7">
        <f>F186*G186*H186</f>
        <v>891444</v>
      </c>
      <c r="J186">
        <v>1</v>
      </c>
      <c r="K186" t="s">
        <v>134</v>
      </c>
    </row>
    <row r="187" spans="1:13" ht="22" customHeight="1" x14ac:dyDescent="0.35">
      <c r="A187" s="21" t="s">
        <v>135</v>
      </c>
      <c r="B187" s="29" t="s">
        <v>75</v>
      </c>
      <c r="C187" s="23"/>
      <c r="D187" s="23"/>
      <c r="E187" s="23"/>
      <c r="F187" s="21">
        <v>4</v>
      </c>
      <c r="G187" s="21">
        <v>3</v>
      </c>
      <c r="H187" s="7">
        <v>64418</v>
      </c>
      <c r="I187" s="7">
        <f>F187*G187*H187</f>
        <v>773016</v>
      </c>
      <c r="L187">
        <v>2</v>
      </c>
      <c r="M187" t="s">
        <v>134</v>
      </c>
    </row>
    <row r="188" spans="1:13" ht="22" customHeight="1" x14ac:dyDescent="0.35">
      <c r="A188" s="21" t="s">
        <v>137</v>
      </c>
      <c r="B188" s="29" t="s">
        <v>169</v>
      </c>
      <c r="C188" s="23"/>
      <c r="D188" s="23"/>
      <c r="E188" s="23"/>
      <c r="F188" s="21">
        <v>4</v>
      </c>
      <c r="G188" s="21">
        <v>3</v>
      </c>
      <c r="H188" s="7">
        <v>56963</v>
      </c>
      <c r="I188" s="7">
        <f>F188*G188*H188</f>
        <v>683556</v>
      </c>
      <c r="J188">
        <v>3</v>
      </c>
      <c r="K188" t="s">
        <v>134</v>
      </c>
    </row>
    <row r="189" spans="1:13" ht="22" customHeight="1" x14ac:dyDescent="0.35">
      <c r="A189" s="21" t="s">
        <v>139</v>
      </c>
      <c r="B189" s="29" t="s">
        <v>172</v>
      </c>
      <c r="C189" s="23"/>
      <c r="D189" s="23"/>
      <c r="E189" s="23"/>
      <c r="F189" s="21">
        <v>4</v>
      </c>
      <c r="G189" s="21">
        <v>3</v>
      </c>
      <c r="H189" s="7">
        <v>53812</v>
      </c>
      <c r="I189" s="7">
        <f>F189*G189*H189</f>
        <v>645744</v>
      </c>
      <c r="L189">
        <v>4</v>
      </c>
      <c r="M189" t="s">
        <v>134</v>
      </c>
    </row>
    <row r="191" spans="1:13" x14ac:dyDescent="0.35">
      <c r="A191" t="s">
        <v>141</v>
      </c>
      <c r="C191" t="s">
        <v>120</v>
      </c>
      <c r="D191" s="40">
        <f>SUM(I186:I189)</f>
        <v>2993760</v>
      </c>
      <c r="E191" s="28"/>
    </row>
    <row r="192" spans="1:13" ht="30" customHeight="1" x14ac:dyDescent="0.35">
      <c r="A192" s="22" t="s">
        <v>142</v>
      </c>
      <c r="C192" s="22" t="s">
        <v>120</v>
      </c>
      <c r="D192" s="31" t="s">
        <v>249</v>
      </c>
      <c r="E192" s="28"/>
      <c r="F192" s="28"/>
      <c r="G192" s="28"/>
      <c r="H192" s="28"/>
      <c r="I192" s="28"/>
      <c r="J192" s="28"/>
      <c r="K192" s="28"/>
      <c r="L192" s="28"/>
      <c r="M192" s="28"/>
    </row>
    <row r="193" spans="1:13" x14ac:dyDescent="0.35">
      <c r="A193" t="s">
        <v>144</v>
      </c>
      <c r="C193" t="s">
        <v>120</v>
      </c>
      <c r="D193" t="s">
        <v>239</v>
      </c>
    </row>
    <row r="194" spans="1:13" x14ac:dyDescent="0.35">
      <c r="D194" t="s">
        <v>240</v>
      </c>
    </row>
    <row r="196" spans="1:13" x14ac:dyDescent="0.35">
      <c r="A196" s="2" t="s">
        <v>147</v>
      </c>
      <c r="D196" s="27" t="s">
        <v>131</v>
      </c>
      <c r="E196" s="28"/>
      <c r="F196" s="2" t="s">
        <v>148</v>
      </c>
      <c r="K196" s="2" t="s">
        <v>149</v>
      </c>
      <c r="M196" s="2" t="s">
        <v>78</v>
      </c>
    </row>
    <row r="198" spans="1:13" x14ac:dyDescent="0.35">
      <c r="A198" t="s">
        <v>150</v>
      </c>
      <c r="K198" t="s">
        <v>241</v>
      </c>
      <c r="M198" s="10">
        <f>D191</f>
        <v>2993760</v>
      </c>
    </row>
    <row r="201" spans="1:13" x14ac:dyDescent="0.35">
      <c r="A201" t="s">
        <v>152</v>
      </c>
    </row>
    <row r="204" spans="1:13" x14ac:dyDescent="0.35">
      <c r="A204" t="s">
        <v>153</v>
      </c>
    </row>
    <row r="207" spans="1:13" x14ac:dyDescent="0.35">
      <c r="A207" t="s">
        <v>154</v>
      </c>
    </row>
    <row r="210" spans="1:13" ht="15.5" x14ac:dyDescent="0.35">
      <c r="B210" s="1" t="s">
        <v>114</v>
      </c>
    </row>
    <row r="211" spans="1:13" ht="15.5" x14ac:dyDescent="0.35">
      <c r="B211" s="1" t="s">
        <v>115</v>
      </c>
    </row>
    <row r="212" spans="1:13" x14ac:dyDescent="0.35">
      <c r="B212" s="18" t="s">
        <v>116</v>
      </c>
    </row>
    <row r="213" spans="1:13" x14ac:dyDescent="0.35">
      <c r="A213" s="19"/>
      <c r="B213" s="20" t="s">
        <v>117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</row>
    <row r="215" spans="1:13" x14ac:dyDescent="0.35">
      <c r="A215" s="37" t="s">
        <v>118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</row>
    <row r="216" spans="1:13" x14ac:dyDescent="0.35">
      <c r="J216" t="s">
        <v>119</v>
      </c>
      <c r="L216" t="s">
        <v>120</v>
      </c>
      <c r="M216" t="s">
        <v>121</v>
      </c>
    </row>
    <row r="217" spans="1:13" x14ac:dyDescent="0.35">
      <c r="A217" t="s">
        <v>122</v>
      </c>
      <c r="D217" s="2" t="s">
        <v>250</v>
      </c>
    </row>
    <row r="219" spans="1:13" x14ac:dyDescent="0.35">
      <c r="A219" s="3" t="s">
        <v>124</v>
      </c>
      <c r="B219" s="26" t="s">
        <v>125</v>
      </c>
      <c r="C219" s="23"/>
      <c r="D219" s="23"/>
      <c r="E219" s="23"/>
      <c r="F219" s="3" t="s">
        <v>78</v>
      </c>
      <c r="G219" s="3" t="s">
        <v>126</v>
      </c>
      <c r="H219" s="3" t="s">
        <v>127</v>
      </c>
      <c r="I219" s="3" t="s">
        <v>78</v>
      </c>
      <c r="J219" s="26" t="s">
        <v>131</v>
      </c>
      <c r="K219" s="23"/>
      <c r="L219" s="23"/>
      <c r="M219" s="23"/>
    </row>
    <row r="220" spans="1:13" ht="22" customHeight="1" x14ac:dyDescent="0.35">
      <c r="A220" s="21" t="s">
        <v>132</v>
      </c>
      <c r="B220" s="29" t="s">
        <v>190</v>
      </c>
      <c r="C220" s="23"/>
      <c r="D220" s="23"/>
      <c r="E220" s="23"/>
      <c r="F220" s="21">
        <v>4</v>
      </c>
      <c r="G220" s="21">
        <v>3</v>
      </c>
      <c r="H220" s="7">
        <v>71768</v>
      </c>
      <c r="I220" s="7">
        <f>F220*G220*H220</f>
        <v>861216</v>
      </c>
      <c r="J220">
        <v>1</v>
      </c>
      <c r="K220" t="s">
        <v>134</v>
      </c>
    </row>
    <row r="221" spans="1:13" ht="22" customHeight="1" x14ac:dyDescent="0.35">
      <c r="A221" s="21" t="s">
        <v>135</v>
      </c>
      <c r="B221" s="29" t="s">
        <v>159</v>
      </c>
      <c r="C221" s="23"/>
      <c r="D221" s="23"/>
      <c r="E221" s="23"/>
      <c r="F221" s="21">
        <v>4</v>
      </c>
      <c r="G221" s="21">
        <v>3</v>
      </c>
      <c r="H221" s="7">
        <v>60000</v>
      </c>
      <c r="I221" s="7">
        <f>F221*G221*H221</f>
        <v>720000</v>
      </c>
      <c r="L221">
        <v>2</v>
      </c>
      <c r="M221" t="s">
        <v>134</v>
      </c>
    </row>
    <row r="222" spans="1:13" ht="22" customHeight="1" x14ac:dyDescent="0.35">
      <c r="A222" s="21" t="s">
        <v>137</v>
      </c>
      <c r="B222" s="29" t="s">
        <v>55</v>
      </c>
      <c r="C222" s="23"/>
      <c r="D222" s="23"/>
      <c r="E222" s="23"/>
      <c r="F222" s="21">
        <v>4</v>
      </c>
      <c r="G222" s="21">
        <v>3</v>
      </c>
      <c r="H222" s="7">
        <v>63787</v>
      </c>
      <c r="I222" s="7">
        <f>F222*G222*H222</f>
        <v>765444</v>
      </c>
      <c r="J222">
        <v>3</v>
      </c>
      <c r="K222" t="s">
        <v>134</v>
      </c>
    </row>
    <row r="223" spans="1:13" ht="22" customHeight="1" x14ac:dyDescent="0.35">
      <c r="A223" s="21" t="s">
        <v>139</v>
      </c>
      <c r="B223" s="29" t="s">
        <v>219</v>
      </c>
      <c r="C223" s="23"/>
      <c r="D223" s="23"/>
      <c r="E223" s="23"/>
      <c r="F223" s="21">
        <v>4</v>
      </c>
      <c r="G223" s="21">
        <v>3</v>
      </c>
      <c r="H223" s="7">
        <v>67305</v>
      </c>
      <c r="I223" s="7">
        <f>F223*G223*H223</f>
        <v>807660</v>
      </c>
      <c r="L223">
        <v>4</v>
      </c>
      <c r="M223" t="s">
        <v>134</v>
      </c>
    </row>
    <row r="225" spans="1:13" x14ac:dyDescent="0.35">
      <c r="A225" t="s">
        <v>141</v>
      </c>
      <c r="C225" t="s">
        <v>120</v>
      </c>
      <c r="D225" s="40">
        <f>SUM(I220:I223)</f>
        <v>3154320</v>
      </c>
      <c r="E225" s="28"/>
    </row>
    <row r="226" spans="1:13" ht="30" customHeight="1" x14ac:dyDescent="0.35">
      <c r="A226" s="22" t="s">
        <v>142</v>
      </c>
      <c r="C226" s="22" t="s">
        <v>120</v>
      </c>
      <c r="D226" s="31" t="s">
        <v>251</v>
      </c>
      <c r="E226" s="28"/>
      <c r="F226" s="28"/>
      <c r="G226" s="28"/>
      <c r="H226" s="28"/>
      <c r="I226" s="28"/>
      <c r="J226" s="28"/>
      <c r="K226" s="28"/>
      <c r="L226" s="28"/>
      <c r="M226" s="28"/>
    </row>
    <row r="227" spans="1:13" x14ac:dyDescent="0.35">
      <c r="A227" t="s">
        <v>144</v>
      </c>
      <c r="C227" t="s">
        <v>120</v>
      </c>
      <c r="D227" t="s">
        <v>239</v>
      </c>
    </row>
    <row r="228" spans="1:13" x14ac:dyDescent="0.35">
      <c r="D228" t="s">
        <v>240</v>
      </c>
    </row>
    <row r="230" spans="1:13" x14ac:dyDescent="0.35">
      <c r="A230" s="2" t="s">
        <v>147</v>
      </c>
      <c r="D230" s="27" t="s">
        <v>131</v>
      </c>
      <c r="E230" s="28"/>
      <c r="F230" s="2" t="s">
        <v>148</v>
      </c>
      <c r="K230" s="2" t="s">
        <v>149</v>
      </c>
      <c r="M230" s="2" t="s">
        <v>78</v>
      </c>
    </row>
    <row r="232" spans="1:13" x14ac:dyDescent="0.35">
      <c r="A232" t="s">
        <v>150</v>
      </c>
      <c r="K232" t="s">
        <v>241</v>
      </c>
      <c r="M232" s="10">
        <f>D225</f>
        <v>3154320</v>
      </c>
    </row>
    <row r="235" spans="1:13" x14ac:dyDescent="0.35">
      <c r="A235" t="s">
        <v>152</v>
      </c>
    </row>
    <row r="238" spans="1:13" x14ac:dyDescent="0.35">
      <c r="A238" t="s">
        <v>153</v>
      </c>
    </row>
    <row r="241" spans="1:13" x14ac:dyDescent="0.35">
      <c r="A241" t="s">
        <v>154</v>
      </c>
    </row>
    <row r="244" spans="1:13" ht="15.5" x14ac:dyDescent="0.35">
      <c r="B244" s="1" t="s">
        <v>114</v>
      </c>
    </row>
    <row r="245" spans="1:13" ht="15.5" x14ac:dyDescent="0.35">
      <c r="B245" s="1" t="s">
        <v>115</v>
      </c>
    </row>
    <row r="246" spans="1:13" x14ac:dyDescent="0.35">
      <c r="B246" s="18" t="s">
        <v>116</v>
      </c>
    </row>
    <row r="247" spans="1:13" x14ac:dyDescent="0.35">
      <c r="A247" s="19"/>
      <c r="B247" s="20" t="s">
        <v>117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</row>
    <row r="249" spans="1:13" x14ac:dyDescent="0.35">
      <c r="A249" s="37" t="s">
        <v>118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</row>
    <row r="250" spans="1:13" x14ac:dyDescent="0.35">
      <c r="J250" t="s">
        <v>119</v>
      </c>
      <c r="L250" t="s">
        <v>120</v>
      </c>
      <c r="M250" t="s">
        <v>121</v>
      </c>
    </row>
    <row r="251" spans="1:13" x14ac:dyDescent="0.35">
      <c r="A251" t="s">
        <v>122</v>
      </c>
      <c r="D251" s="2" t="s">
        <v>252</v>
      </c>
    </row>
    <row r="253" spans="1:13" x14ac:dyDescent="0.35">
      <c r="A253" s="3" t="s">
        <v>124</v>
      </c>
      <c r="B253" s="26" t="s">
        <v>125</v>
      </c>
      <c r="C253" s="23"/>
      <c r="D253" s="23"/>
      <c r="E253" s="23"/>
      <c r="F253" s="3" t="s">
        <v>78</v>
      </c>
      <c r="G253" s="3" t="s">
        <v>126</v>
      </c>
      <c r="H253" s="3" t="s">
        <v>127</v>
      </c>
      <c r="I253" s="3" t="s">
        <v>78</v>
      </c>
      <c r="J253" s="26" t="s">
        <v>131</v>
      </c>
      <c r="K253" s="23"/>
      <c r="L253" s="23"/>
      <c r="M253" s="23"/>
    </row>
    <row r="254" spans="1:13" ht="22" customHeight="1" x14ac:dyDescent="0.35">
      <c r="A254" s="21" t="s">
        <v>132</v>
      </c>
      <c r="B254" s="29" t="s">
        <v>183</v>
      </c>
      <c r="C254" s="23"/>
      <c r="D254" s="23"/>
      <c r="E254" s="23"/>
      <c r="F254" s="21">
        <v>4</v>
      </c>
      <c r="G254" s="21">
        <v>3</v>
      </c>
      <c r="H254" s="7">
        <v>65152</v>
      </c>
      <c r="I254" s="7">
        <f>F254*G254*H254</f>
        <v>781824</v>
      </c>
      <c r="J254">
        <v>1</v>
      </c>
      <c r="K254" t="s">
        <v>134</v>
      </c>
    </row>
    <row r="255" spans="1:13" ht="22" customHeight="1" x14ac:dyDescent="0.35">
      <c r="A255" s="21" t="s">
        <v>135</v>
      </c>
      <c r="B255" s="29" t="s">
        <v>181</v>
      </c>
      <c r="C255" s="23"/>
      <c r="D255" s="23"/>
      <c r="E255" s="23"/>
      <c r="F255" s="21">
        <v>4</v>
      </c>
      <c r="G255" s="21">
        <v>3</v>
      </c>
      <c r="H255" s="7">
        <v>67305</v>
      </c>
      <c r="I255" s="7">
        <f>F255*G255*H255</f>
        <v>807660</v>
      </c>
      <c r="L255">
        <v>2</v>
      </c>
      <c r="M255" t="s">
        <v>134</v>
      </c>
    </row>
    <row r="256" spans="1:13" ht="22" customHeight="1" x14ac:dyDescent="0.35">
      <c r="A256" s="21" t="s">
        <v>137</v>
      </c>
      <c r="B256" s="29" t="s">
        <v>191</v>
      </c>
      <c r="C256" s="23"/>
      <c r="D256" s="23"/>
      <c r="E256" s="23"/>
      <c r="F256" s="21">
        <v>4</v>
      </c>
      <c r="G256" s="21">
        <v>3</v>
      </c>
      <c r="H256" s="7">
        <v>84000</v>
      </c>
      <c r="I256" s="7">
        <f>F256*G256*H256</f>
        <v>1008000</v>
      </c>
      <c r="J256">
        <v>3</v>
      </c>
      <c r="K256" t="s">
        <v>134</v>
      </c>
    </row>
    <row r="257" spans="1:13" ht="22" customHeight="1" x14ac:dyDescent="0.35">
      <c r="A257" s="21" t="s">
        <v>139</v>
      </c>
      <c r="B257" s="29" t="s">
        <v>59</v>
      </c>
      <c r="C257" s="23"/>
      <c r="D257" s="23"/>
      <c r="E257" s="23"/>
      <c r="F257" s="21">
        <v>4</v>
      </c>
      <c r="G257" s="21">
        <v>3</v>
      </c>
      <c r="H257" s="7">
        <v>61162</v>
      </c>
      <c r="I257" s="7">
        <f>F257*G257*H257</f>
        <v>733944</v>
      </c>
      <c r="L257">
        <v>4</v>
      </c>
      <c r="M257" t="s">
        <v>134</v>
      </c>
    </row>
    <row r="259" spans="1:13" x14ac:dyDescent="0.35">
      <c r="A259" t="s">
        <v>141</v>
      </c>
      <c r="C259" t="s">
        <v>120</v>
      </c>
      <c r="D259" s="40">
        <f>SUM(I254:I257)</f>
        <v>3331428</v>
      </c>
      <c r="E259" s="28"/>
    </row>
    <row r="260" spans="1:13" ht="30" customHeight="1" x14ac:dyDescent="0.35">
      <c r="A260" s="22" t="s">
        <v>142</v>
      </c>
      <c r="C260" s="22" t="s">
        <v>120</v>
      </c>
      <c r="D260" s="31" t="s">
        <v>253</v>
      </c>
      <c r="E260" s="28"/>
      <c r="F260" s="28"/>
      <c r="G260" s="28"/>
      <c r="H260" s="28"/>
      <c r="I260" s="28"/>
      <c r="J260" s="28"/>
      <c r="K260" s="28"/>
      <c r="L260" s="28"/>
      <c r="M260" s="28"/>
    </row>
    <row r="261" spans="1:13" x14ac:dyDescent="0.35">
      <c r="A261" t="s">
        <v>144</v>
      </c>
      <c r="C261" t="s">
        <v>120</v>
      </c>
      <c r="D261" t="s">
        <v>239</v>
      </c>
    </row>
    <row r="262" spans="1:13" x14ac:dyDescent="0.35">
      <c r="D262" t="s">
        <v>240</v>
      </c>
    </row>
    <row r="264" spans="1:13" x14ac:dyDescent="0.35">
      <c r="A264" s="2" t="s">
        <v>147</v>
      </c>
      <c r="D264" s="27" t="s">
        <v>131</v>
      </c>
      <c r="E264" s="28"/>
      <c r="F264" s="2" t="s">
        <v>148</v>
      </c>
      <c r="K264" s="2" t="s">
        <v>149</v>
      </c>
      <c r="M264" s="2" t="s">
        <v>78</v>
      </c>
    </row>
    <row r="266" spans="1:13" x14ac:dyDescent="0.35">
      <c r="A266" t="s">
        <v>150</v>
      </c>
      <c r="K266" t="s">
        <v>241</v>
      </c>
      <c r="M266" s="10">
        <f>D259</f>
        <v>3331428</v>
      </c>
    </row>
    <row r="269" spans="1:13" x14ac:dyDescent="0.35">
      <c r="A269" t="s">
        <v>152</v>
      </c>
    </row>
    <row r="272" spans="1:13" x14ac:dyDescent="0.35">
      <c r="A272" t="s">
        <v>153</v>
      </c>
    </row>
    <row r="275" spans="1:13" x14ac:dyDescent="0.35">
      <c r="A275" t="s">
        <v>154</v>
      </c>
    </row>
    <row r="278" spans="1:13" ht="15.5" x14ac:dyDescent="0.35">
      <c r="B278" s="1" t="s">
        <v>114</v>
      </c>
    </row>
    <row r="279" spans="1:13" ht="15.5" x14ac:dyDescent="0.35">
      <c r="B279" s="1" t="s">
        <v>115</v>
      </c>
    </row>
    <row r="280" spans="1:13" x14ac:dyDescent="0.35">
      <c r="B280" s="18" t="s">
        <v>116</v>
      </c>
    </row>
    <row r="281" spans="1:13" x14ac:dyDescent="0.35">
      <c r="A281" s="19"/>
      <c r="B281" s="20" t="s">
        <v>117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</row>
    <row r="283" spans="1:13" x14ac:dyDescent="0.35">
      <c r="A283" s="37" t="s">
        <v>118</v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</row>
    <row r="284" spans="1:13" x14ac:dyDescent="0.35">
      <c r="J284" t="s">
        <v>119</v>
      </c>
      <c r="L284" t="s">
        <v>120</v>
      </c>
      <c r="M284" t="s">
        <v>121</v>
      </c>
    </row>
    <row r="285" spans="1:13" x14ac:dyDescent="0.35">
      <c r="A285" t="s">
        <v>122</v>
      </c>
      <c r="D285" s="2" t="s">
        <v>254</v>
      </c>
    </row>
    <row r="287" spans="1:13" x14ac:dyDescent="0.35">
      <c r="A287" s="3" t="s">
        <v>124</v>
      </c>
      <c r="B287" s="26" t="s">
        <v>125</v>
      </c>
      <c r="C287" s="23"/>
      <c r="D287" s="23"/>
      <c r="E287" s="23"/>
      <c r="F287" s="3" t="s">
        <v>78</v>
      </c>
      <c r="G287" s="3" t="s">
        <v>126</v>
      </c>
      <c r="H287" s="3" t="s">
        <v>127</v>
      </c>
      <c r="I287" s="3" t="s">
        <v>78</v>
      </c>
      <c r="J287" s="26" t="s">
        <v>131</v>
      </c>
      <c r="K287" s="23"/>
      <c r="L287" s="23"/>
      <c r="M287" s="23"/>
    </row>
    <row r="288" spans="1:13" ht="22" customHeight="1" x14ac:dyDescent="0.35">
      <c r="A288" s="21" t="s">
        <v>132</v>
      </c>
      <c r="B288" s="29" t="s">
        <v>211</v>
      </c>
      <c r="C288" s="23"/>
      <c r="D288" s="23"/>
      <c r="E288" s="23"/>
      <c r="F288" s="21">
        <v>4</v>
      </c>
      <c r="G288" s="21">
        <v>3</v>
      </c>
      <c r="H288" s="7">
        <v>75600</v>
      </c>
      <c r="I288" s="7">
        <f>F288*G288*H288</f>
        <v>907200</v>
      </c>
      <c r="J288">
        <v>1</v>
      </c>
      <c r="K288" t="s">
        <v>134</v>
      </c>
    </row>
    <row r="289" spans="1:13" ht="22" customHeight="1" x14ac:dyDescent="0.35">
      <c r="A289" s="21" t="s">
        <v>135</v>
      </c>
      <c r="B289" s="29" t="s">
        <v>133</v>
      </c>
      <c r="C289" s="23"/>
      <c r="D289" s="23"/>
      <c r="E289" s="23"/>
      <c r="F289" s="21">
        <v>4</v>
      </c>
      <c r="G289" s="21">
        <v>3</v>
      </c>
      <c r="H289" s="7">
        <v>80062</v>
      </c>
      <c r="I289" s="7">
        <f>F289*G289*H289</f>
        <v>960744</v>
      </c>
      <c r="L289">
        <v>2</v>
      </c>
      <c r="M289" t="s">
        <v>134</v>
      </c>
    </row>
    <row r="290" spans="1:13" ht="22" customHeight="1" x14ac:dyDescent="0.35">
      <c r="A290" s="21" t="s">
        <v>137</v>
      </c>
      <c r="B290" s="29" t="s">
        <v>212</v>
      </c>
      <c r="C290" s="23"/>
      <c r="D290" s="23"/>
      <c r="E290" s="23"/>
      <c r="F290" s="21">
        <v>4</v>
      </c>
      <c r="G290" s="21">
        <v>3</v>
      </c>
      <c r="H290" s="7">
        <v>71138</v>
      </c>
      <c r="I290" s="7">
        <f>F290*G290*H290</f>
        <v>853656</v>
      </c>
      <c r="J290">
        <v>3</v>
      </c>
      <c r="K290" t="s">
        <v>134</v>
      </c>
    </row>
    <row r="291" spans="1:13" ht="22" customHeight="1" x14ac:dyDescent="0.35">
      <c r="A291" s="21" t="s">
        <v>139</v>
      </c>
      <c r="B291" s="29" t="s">
        <v>230</v>
      </c>
      <c r="C291" s="23"/>
      <c r="D291" s="23"/>
      <c r="E291" s="23"/>
      <c r="F291" s="21">
        <v>4</v>
      </c>
      <c r="G291" s="21">
        <v>3</v>
      </c>
      <c r="H291" s="7">
        <v>67777</v>
      </c>
      <c r="I291" s="7">
        <f>F291*G291*H291</f>
        <v>813324</v>
      </c>
      <c r="L291">
        <v>4</v>
      </c>
      <c r="M291" t="s">
        <v>134</v>
      </c>
    </row>
    <row r="293" spans="1:13" x14ac:dyDescent="0.35">
      <c r="A293" t="s">
        <v>141</v>
      </c>
      <c r="C293" t="s">
        <v>120</v>
      </c>
      <c r="D293" s="40">
        <f>SUM(I288:I291)</f>
        <v>3534924</v>
      </c>
      <c r="E293" s="28"/>
    </row>
    <row r="294" spans="1:13" ht="30" customHeight="1" x14ac:dyDescent="0.35">
      <c r="A294" s="22" t="s">
        <v>142</v>
      </c>
      <c r="C294" s="22" t="s">
        <v>120</v>
      </c>
      <c r="D294" s="31" t="s">
        <v>255</v>
      </c>
      <c r="E294" s="28"/>
      <c r="F294" s="28"/>
      <c r="G294" s="28"/>
      <c r="H294" s="28"/>
      <c r="I294" s="28"/>
      <c r="J294" s="28"/>
      <c r="K294" s="28"/>
      <c r="L294" s="28"/>
      <c r="M294" s="28"/>
    </row>
    <row r="295" spans="1:13" x14ac:dyDescent="0.35">
      <c r="A295" t="s">
        <v>144</v>
      </c>
      <c r="C295" t="s">
        <v>120</v>
      </c>
      <c r="D295" t="s">
        <v>239</v>
      </c>
    </row>
    <row r="296" spans="1:13" x14ac:dyDescent="0.35">
      <c r="D296" t="s">
        <v>240</v>
      </c>
    </row>
    <row r="298" spans="1:13" x14ac:dyDescent="0.35">
      <c r="A298" s="2" t="s">
        <v>147</v>
      </c>
      <c r="D298" s="27" t="s">
        <v>131</v>
      </c>
      <c r="E298" s="28"/>
      <c r="F298" s="2" t="s">
        <v>148</v>
      </c>
      <c r="K298" s="2" t="s">
        <v>149</v>
      </c>
      <c r="M298" s="2" t="s">
        <v>78</v>
      </c>
    </row>
    <row r="300" spans="1:13" x14ac:dyDescent="0.35">
      <c r="A300" t="s">
        <v>150</v>
      </c>
      <c r="K300" t="s">
        <v>241</v>
      </c>
      <c r="M300" s="10">
        <f>D293</f>
        <v>3534924</v>
      </c>
    </row>
    <row r="303" spans="1:13" x14ac:dyDescent="0.35">
      <c r="A303" t="s">
        <v>152</v>
      </c>
    </row>
    <row r="306" spans="1:13" x14ac:dyDescent="0.35">
      <c r="A306" t="s">
        <v>153</v>
      </c>
    </row>
    <row r="309" spans="1:13" x14ac:dyDescent="0.35">
      <c r="A309" t="s">
        <v>154</v>
      </c>
    </row>
    <row r="312" spans="1:13" ht="15.5" x14ac:dyDescent="0.35">
      <c r="B312" s="1" t="s">
        <v>114</v>
      </c>
    </row>
    <row r="313" spans="1:13" ht="15.5" x14ac:dyDescent="0.35">
      <c r="B313" s="1" t="s">
        <v>115</v>
      </c>
    </row>
    <row r="314" spans="1:13" x14ac:dyDescent="0.35">
      <c r="B314" s="18" t="s">
        <v>116</v>
      </c>
    </row>
    <row r="315" spans="1:13" x14ac:dyDescent="0.35">
      <c r="A315" s="19"/>
      <c r="B315" s="20" t="s">
        <v>117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</row>
    <row r="317" spans="1:13" x14ac:dyDescent="0.35">
      <c r="A317" s="37" t="s">
        <v>118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</row>
    <row r="318" spans="1:13" x14ac:dyDescent="0.35">
      <c r="J318" t="s">
        <v>119</v>
      </c>
      <c r="L318" t="s">
        <v>120</v>
      </c>
      <c r="M318" t="s">
        <v>121</v>
      </c>
    </row>
    <row r="319" spans="1:13" x14ac:dyDescent="0.35">
      <c r="A319" t="s">
        <v>122</v>
      </c>
      <c r="D319" s="2" t="s">
        <v>256</v>
      </c>
    </row>
    <row r="321" spans="1:13" x14ac:dyDescent="0.35">
      <c r="A321" s="3" t="s">
        <v>124</v>
      </c>
      <c r="B321" s="26" t="s">
        <v>125</v>
      </c>
      <c r="C321" s="23"/>
      <c r="D321" s="23"/>
      <c r="E321" s="23"/>
      <c r="F321" s="3" t="s">
        <v>78</v>
      </c>
      <c r="G321" s="3" t="s">
        <v>126</v>
      </c>
      <c r="H321" s="3" t="s">
        <v>127</v>
      </c>
      <c r="I321" s="3" t="s">
        <v>78</v>
      </c>
      <c r="J321" s="26" t="s">
        <v>131</v>
      </c>
      <c r="K321" s="23"/>
      <c r="L321" s="23"/>
      <c r="M321" s="23"/>
    </row>
    <row r="322" spans="1:13" ht="22" customHeight="1" x14ac:dyDescent="0.35">
      <c r="A322" s="21" t="s">
        <v>132</v>
      </c>
      <c r="B322" s="29" t="s">
        <v>192</v>
      </c>
      <c r="C322" s="23"/>
      <c r="D322" s="23"/>
      <c r="E322" s="23"/>
      <c r="F322" s="21">
        <v>4</v>
      </c>
      <c r="G322" s="21">
        <v>3</v>
      </c>
      <c r="H322" s="7">
        <v>53812</v>
      </c>
      <c r="I322" s="7">
        <f>F322*G322*H322</f>
        <v>645744</v>
      </c>
      <c r="J322">
        <v>1</v>
      </c>
      <c r="K322" t="s">
        <v>134</v>
      </c>
    </row>
    <row r="323" spans="1:13" ht="22" customHeight="1" x14ac:dyDescent="0.35">
      <c r="A323" s="21" t="s">
        <v>135</v>
      </c>
      <c r="B323" s="29" t="s">
        <v>182</v>
      </c>
      <c r="C323" s="23"/>
      <c r="D323" s="23"/>
      <c r="E323" s="23"/>
      <c r="F323" s="21">
        <v>4</v>
      </c>
      <c r="G323" s="21">
        <v>3</v>
      </c>
      <c r="H323" s="7">
        <v>81375</v>
      </c>
      <c r="I323" s="7">
        <f>F323*G323*H323</f>
        <v>976500</v>
      </c>
      <c r="L323">
        <v>2</v>
      </c>
      <c r="M323" t="s">
        <v>134</v>
      </c>
    </row>
    <row r="324" spans="1:13" ht="22" customHeight="1" x14ac:dyDescent="0.35">
      <c r="A324" s="21" t="s">
        <v>137</v>
      </c>
      <c r="B324" s="29" t="s">
        <v>229</v>
      </c>
      <c r="C324" s="23"/>
      <c r="D324" s="23"/>
      <c r="E324" s="23"/>
      <c r="F324" s="21">
        <v>4</v>
      </c>
      <c r="G324" s="21">
        <v>3</v>
      </c>
      <c r="H324" s="7">
        <v>81375</v>
      </c>
      <c r="I324" s="7">
        <f>F324*G324*H324</f>
        <v>976500</v>
      </c>
      <c r="J324">
        <v>3</v>
      </c>
      <c r="K324" t="s">
        <v>134</v>
      </c>
    </row>
    <row r="325" spans="1:13" ht="22" customHeight="1" x14ac:dyDescent="0.35">
      <c r="A325" s="21" t="s">
        <v>139</v>
      </c>
      <c r="B325" s="29" t="s">
        <v>203</v>
      </c>
      <c r="C325" s="23"/>
      <c r="D325" s="23"/>
      <c r="E325" s="23"/>
      <c r="F325" s="21">
        <v>4</v>
      </c>
      <c r="G325" s="21">
        <v>3</v>
      </c>
      <c r="H325" s="7">
        <v>59115</v>
      </c>
      <c r="I325" s="7">
        <f>F325*G325*H325</f>
        <v>709380</v>
      </c>
      <c r="L325">
        <v>4</v>
      </c>
      <c r="M325" t="s">
        <v>134</v>
      </c>
    </row>
    <row r="326" spans="1:13" ht="22" customHeight="1" x14ac:dyDescent="0.35">
      <c r="A326" s="21" t="s">
        <v>202</v>
      </c>
      <c r="B326" s="29" t="s">
        <v>201</v>
      </c>
      <c r="C326" s="23"/>
      <c r="D326" s="23"/>
      <c r="E326" s="23"/>
      <c r="F326" s="21">
        <v>4</v>
      </c>
      <c r="G326" s="21">
        <v>3</v>
      </c>
      <c r="H326" s="7">
        <v>53812</v>
      </c>
      <c r="I326" s="7">
        <f>F326*G326*H326</f>
        <v>645744</v>
      </c>
      <c r="J326">
        <v>5</v>
      </c>
      <c r="K326" t="s">
        <v>134</v>
      </c>
    </row>
    <row r="328" spans="1:13" x14ac:dyDescent="0.35">
      <c r="A328" t="s">
        <v>141</v>
      </c>
      <c r="C328" t="s">
        <v>120</v>
      </c>
      <c r="D328" s="40">
        <f>SUM(I322:I326)</f>
        <v>3953868</v>
      </c>
      <c r="E328" s="28"/>
    </row>
    <row r="329" spans="1:13" ht="30" customHeight="1" x14ac:dyDescent="0.35">
      <c r="A329" s="22" t="s">
        <v>142</v>
      </c>
      <c r="C329" s="22" t="s">
        <v>120</v>
      </c>
      <c r="D329" s="31" t="s">
        <v>257</v>
      </c>
      <c r="E329" s="28"/>
      <c r="F329" s="28"/>
      <c r="G329" s="28"/>
      <c r="H329" s="28"/>
      <c r="I329" s="28"/>
      <c r="J329" s="28"/>
      <c r="K329" s="28"/>
      <c r="L329" s="28"/>
      <c r="M329" s="28"/>
    </row>
    <row r="330" spans="1:13" x14ac:dyDescent="0.35">
      <c r="A330" t="s">
        <v>144</v>
      </c>
      <c r="C330" t="s">
        <v>120</v>
      </c>
      <c r="D330" t="s">
        <v>239</v>
      </c>
    </row>
    <row r="331" spans="1:13" x14ac:dyDescent="0.35">
      <c r="D331" t="s">
        <v>240</v>
      </c>
    </row>
    <row r="333" spans="1:13" x14ac:dyDescent="0.35">
      <c r="A333" s="2" t="s">
        <v>147</v>
      </c>
      <c r="D333" s="27" t="s">
        <v>131</v>
      </c>
      <c r="E333" s="28"/>
      <c r="F333" s="2" t="s">
        <v>148</v>
      </c>
      <c r="K333" s="2" t="s">
        <v>149</v>
      </c>
      <c r="M333" s="2" t="s">
        <v>78</v>
      </c>
    </row>
    <row r="335" spans="1:13" x14ac:dyDescent="0.35">
      <c r="A335" t="s">
        <v>150</v>
      </c>
      <c r="K335" t="s">
        <v>241</v>
      </c>
      <c r="M335" s="10">
        <f>D328</f>
        <v>3953868</v>
      </c>
    </row>
    <row r="338" spans="1:13" x14ac:dyDescent="0.35">
      <c r="A338" t="s">
        <v>152</v>
      </c>
    </row>
    <row r="341" spans="1:13" x14ac:dyDescent="0.35">
      <c r="A341" t="s">
        <v>153</v>
      </c>
    </row>
    <row r="344" spans="1:13" x14ac:dyDescent="0.35">
      <c r="A344" t="s">
        <v>154</v>
      </c>
    </row>
    <row r="347" spans="1:13" ht="15.5" x14ac:dyDescent="0.35">
      <c r="B347" s="1" t="s">
        <v>114</v>
      </c>
    </row>
    <row r="348" spans="1:13" ht="15.5" x14ac:dyDescent="0.35">
      <c r="B348" s="1" t="s">
        <v>115</v>
      </c>
    </row>
    <row r="349" spans="1:13" x14ac:dyDescent="0.35">
      <c r="B349" s="18" t="s">
        <v>116</v>
      </c>
    </row>
    <row r="350" spans="1:13" x14ac:dyDescent="0.35">
      <c r="A350" s="19"/>
      <c r="B350" s="20" t="s">
        <v>117</v>
      </c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</row>
    <row r="352" spans="1:13" x14ac:dyDescent="0.35">
      <c r="A352" s="37" t="s">
        <v>118</v>
      </c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</row>
    <row r="353" spans="1:13" x14ac:dyDescent="0.35">
      <c r="J353" t="s">
        <v>119</v>
      </c>
      <c r="L353" t="s">
        <v>120</v>
      </c>
      <c r="M353" t="s">
        <v>121</v>
      </c>
    </row>
    <row r="354" spans="1:13" x14ac:dyDescent="0.35">
      <c r="A354" t="s">
        <v>122</v>
      </c>
      <c r="D354" s="2" t="s">
        <v>258</v>
      </c>
    </row>
    <row r="356" spans="1:13" x14ac:dyDescent="0.35">
      <c r="A356" s="3" t="s">
        <v>124</v>
      </c>
      <c r="B356" s="26" t="s">
        <v>125</v>
      </c>
      <c r="C356" s="23"/>
      <c r="D356" s="23"/>
      <c r="E356" s="23"/>
      <c r="F356" s="3" t="s">
        <v>78</v>
      </c>
      <c r="G356" s="3" t="s">
        <v>126</v>
      </c>
      <c r="H356" s="3" t="s">
        <v>127</v>
      </c>
      <c r="I356" s="3" t="s">
        <v>78</v>
      </c>
      <c r="J356" s="26" t="s">
        <v>131</v>
      </c>
      <c r="K356" s="23"/>
      <c r="L356" s="23"/>
      <c r="M356" s="23"/>
    </row>
    <row r="357" spans="1:13" ht="22" customHeight="1" x14ac:dyDescent="0.35">
      <c r="A357" s="21" t="s">
        <v>132</v>
      </c>
      <c r="B357" s="29" t="s">
        <v>62</v>
      </c>
      <c r="C357" s="23"/>
      <c r="D357" s="23"/>
      <c r="E357" s="23"/>
      <c r="F357" s="21">
        <v>4</v>
      </c>
      <c r="G357" s="21">
        <v>3</v>
      </c>
      <c r="H357" s="7">
        <v>74287</v>
      </c>
      <c r="I357" s="7">
        <f>F357*G357*H357</f>
        <v>891444</v>
      </c>
      <c r="J357">
        <v>1</v>
      </c>
      <c r="K357" t="s">
        <v>134</v>
      </c>
    </row>
    <row r="358" spans="1:13" ht="22" customHeight="1" x14ac:dyDescent="0.35">
      <c r="A358" s="21" t="s">
        <v>135</v>
      </c>
      <c r="B358" s="29" t="s">
        <v>226</v>
      </c>
      <c r="C358" s="23"/>
      <c r="D358" s="23"/>
      <c r="E358" s="23"/>
      <c r="F358" s="21">
        <v>4</v>
      </c>
      <c r="G358" s="21">
        <v>3</v>
      </c>
      <c r="H358" s="7">
        <v>54652</v>
      </c>
      <c r="I358" s="7">
        <f>F358*G358*H358</f>
        <v>655824</v>
      </c>
      <c r="L358">
        <v>2</v>
      </c>
      <c r="M358" t="s">
        <v>134</v>
      </c>
    </row>
    <row r="359" spans="1:13" ht="22" customHeight="1" x14ac:dyDescent="0.35">
      <c r="A359" s="21" t="s">
        <v>137</v>
      </c>
      <c r="B359" s="29" t="s">
        <v>186</v>
      </c>
      <c r="C359" s="23"/>
      <c r="D359" s="23"/>
      <c r="E359" s="23"/>
      <c r="F359" s="21">
        <v>4</v>
      </c>
      <c r="G359" s="21">
        <v>3</v>
      </c>
      <c r="H359" s="7">
        <v>74287</v>
      </c>
      <c r="I359" s="7">
        <f>F359*G359*H359</f>
        <v>891444</v>
      </c>
      <c r="J359">
        <v>3</v>
      </c>
      <c r="K359" t="s">
        <v>134</v>
      </c>
    </row>
    <row r="360" spans="1:13" ht="22" customHeight="1" x14ac:dyDescent="0.35">
      <c r="A360" s="21" t="s">
        <v>139</v>
      </c>
      <c r="B360" s="29" t="s">
        <v>187</v>
      </c>
      <c r="C360" s="23"/>
      <c r="D360" s="23"/>
      <c r="E360" s="23"/>
      <c r="F360" s="21">
        <v>4</v>
      </c>
      <c r="G360" s="21">
        <v>3</v>
      </c>
      <c r="H360" s="7">
        <v>60000</v>
      </c>
      <c r="I360" s="7">
        <f>F360*G360*H360</f>
        <v>720000</v>
      </c>
      <c r="L360">
        <v>4</v>
      </c>
      <c r="M360" t="s">
        <v>134</v>
      </c>
    </row>
    <row r="361" spans="1:13" ht="22" customHeight="1" x14ac:dyDescent="0.35">
      <c r="A361" s="21" t="s">
        <v>202</v>
      </c>
      <c r="B361" s="29" t="s">
        <v>65</v>
      </c>
      <c r="C361" s="23"/>
      <c r="D361" s="23"/>
      <c r="E361" s="23"/>
      <c r="F361" s="21">
        <v>4</v>
      </c>
      <c r="G361" s="21">
        <v>3</v>
      </c>
      <c r="H361" s="7">
        <v>45000</v>
      </c>
      <c r="I361" s="7">
        <f>F361*G361*H361</f>
        <v>540000</v>
      </c>
      <c r="J361">
        <v>5</v>
      </c>
      <c r="K361" t="s">
        <v>134</v>
      </c>
    </row>
    <row r="363" spans="1:13" x14ac:dyDescent="0.35">
      <c r="A363" t="s">
        <v>141</v>
      </c>
      <c r="C363" t="s">
        <v>120</v>
      </c>
      <c r="D363" s="40">
        <f>SUM(I357:I361)</f>
        <v>3698712</v>
      </c>
      <c r="E363" s="28"/>
    </row>
    <row r="364" spans="1:13" ht="30" customHeight="1" x14ac:dyDescent="0.35">
      <c r="A364" s="22" t="s">
        <v>142</v>
      </c>
      <c r="C364" s="22" t="s">
        <v>120</v>
      </c>
      <c r="D364" s="31" t="s">
        <v>259</v>
      </c>
      <c r="E364" s="28"/>
      <c r="F364" s="28"/>
      <c r="G364" s="28"/>
      <c r="H364" s="28"/>
      <c r="I364" s="28"/>
      <c r="J364" s="28"/>
      <c r="K364" s="28"/>
      <c r="L364" s="28"/>
      <c r="M364" s="28"/>
    </row>
    <row r="365" spans="1:13" x14ac:dyDescent="0.35">
      <c r="A365" t="s">
        <v>144</v>
      </c>
      <c r="C365" t="s">
        <v>120</v>
      </c>
      <c r="D365" t="s">
        <v>239</v>
      </c>
    </row>
    <row r="366" spans="1:13" x14ac:dyDescent="0.35">
      <c r="D366" t="s">
        <v>240</v>
      </c>
    </row>
    <row r="368" spans="1:13" x14ac:dyDescent="0.35">
      <c r="A368" s="2" t="s">
        <v>147</v>
      </c>
      <c r="D368" s="27" t="s">
        <v>131</v>
      </c>
      <c r="E368" s="28"/>
      <c r="F368" s="2" t="s">
        <v>148</v>
      </c>
      <c r="K368" s="2" t="s">
        <v>149</v>
      </c>
      <c r="M368" s="2" t="s">
        <v>78</v>
      </c>
    </row>
    <row r="370" spans="1:13" x14ac:dyDescent="0.35">
      <c r="A370" t="s">
        <v>150</v>
      </c>
      <c r="K370" t="s">
        <v>241</v>
      </c>
      <c r="M370" s="10">
        <f>D363</f>
        <v>3698712</v>
      </c>
    </row>
    <row r="373" spans="1:13" x14ac:dyDescent="0.35">
      <c r="A373" t="s">
        <v>152</v>
      </c>
    </row>
    <row r="376" spans="1:13" x14ac:dyDescent="0.35">
      <c r="A376" t="s">
        <v>153</v>
      </c>
    </row>
    <row r="379" spans="1:13" x14ac:dyDescent="0.35">
      <c r="A379" t="s">
        <v>154</v>
      </c>
    </row>
    <row r="382" spans="1:13" ht="15.5" x14ac:dyDescent="0.35">
      <c r="B382" s="1" t="s">
        <v>114</v>
      </c>
    </row>
    <row r="383" spans="1:13" ht="15.5" x14ac:dyDescent="0.35">
      <c r="B383" s="1" t="s">
        <v>115</v>
      </c>
    </row>
    <row r="384" spans="1:13" x14ac:dyDescent="0.35">
      <c r="B384" s="18" t="s">
        <v>116</v>
      </c>
    </row>
    <row r="385" spans="1:13" x14ac:dyDescent="0.35">
      <c r="A385" s="19"/>
      <c r="B385" s="20" t="s">
        <v>117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</row>
    <row r="387" spans="1:13" x14ac:dyDescent="0.35">
      <c r="A387" s="37" t="s">
        <v>118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</row>
    <row r="388" spans="1:13" x14ac:dyDescent="0.35">
      <c r="J388" t="s">
        <v>119</v>
      </c>
      <c r="L388" t="s">
        <v>120</v>
      </c>
      <c r="M388" t="s">
        <v>121</v>
      </c>
    </row>
    <row r="389" spans="1:13" x14ac:dyDescent="0.35">
      <c r="A389" t="s">
        <v>122</v>
      </c>
      <c r="D389" s="2" t="s">
        <v>260</v>
      </c>
    </row>
    <row r="391" spans="1:13" x14ac:dyDescent="0.35">
      <c r="A391" s="3" t="s">
        <v>124</v>
      </c>
      <c r="B391" s="26" t="s">
        <v>125</v>
      </c>
      <c r="C391" s="23"/>
      <c r="D391" s="23"/>
      <c r="E391" s="23"/>
      <c r="F391" s="3" t="s">
        <v>78</v>
      </c>
      <c r="G391" s="3" t="s">
        <v>126</v>
      </c>
      <c r="H391" s="3" t="s">
        <v>127</v>
      </c>
      <c r="I391" s="3" t="s">
        <v>78</v>
      </c>
      <c r="J391" s="26" t="s">
        <v>131</v>
      </c>
      <c r="K391" s="23"/>
      <c r="L391" s="23"/>
      <c r="M391" s="23"/>
    </row>
    <row r="392" spans="1:13" ht="22" customHeight="1" x14ac:dyDescent="0.35">
      <c r="A392" s="21" t="s">
        <v>132</v>
      </c>
      <c r="B392" s="29" t="s">
        <v>231</v>
      </c>
      <c r="C392" s="23"/>
      <c r="D392" s="23"/>
      <c r="E392" s="23"/>
      <c r="F392" s="21">
        <v>4</v>
      </c>
      <c r="G392" s="21">
        <v>3</v>
      </c>
      <c r="H392" s="7">
        <v>66465</v>
      </c>
      <c r="I392" s="7">
        <f>F392*G392*H392</f>
        <v>797580</v>
      </c>
      <c r="J392">
        <v>1</v>
      </c>
      <c r="K392" t="s">
        <v>134</v>
      </c>
    </row>
    <row r="393" spans="1:13" ht="22" customHeight="1" x14ac:dyDescent="0.35">
      <c r="A393" s="21" t="s">
        <v>135</v>
      </c>
      <c r="B393" s="29" t="s">
        <v>214</v>
      </c>
      <c r="C393" s="23"/>
      <c r="D393" s="23"/>
      <c r="E393" s="23"/>
      <c r="F393" s="21">
        <v>4</v>
      </c>
      <c r="G393" s="21">
        <v>3</v>
      </c>
      <c r="H393" s="7">
        <v>71138</v>
      </c>
      <c r="I393" s="7">
        <f>F393*G393*H393</f>
        <v>853656</v>
      </c>
      <c r="L393">
        <v>2</v>
      </c>
      <c r="M393" t="s">
        <v>134</v>
      </c>
    </row>
    <row r="394" spans="1:13" ht="22" customHeight="1" x14ac:dyDescent="0.35">
      <c r="A394" s="21" t="s">
        <v>137</v>
      </c>
      <c r="B394" s="29" t="s">
        <v>213</v>
      </c>
      <c r="C394" s="23"/>
      <c r="D394" s="23"/>
      <c r="E394" s="23"/>
      <c r="F394" s="21">
        <v>4</v>
      </c>
      <c r="G394" s="21">
        <v>3</v>
      </c>
      <c r="H394" s="7">
        <v>78225</v>
      </c>
      <c r="I394" s="7">
        <f>F394*G394*H394</f>
        <v>938700</v>
      </c>
      <c r="J394">
        <v>3</v>
      </c>
      <c r="K394" t="s">
        <v>134</v>
      </c>
    </row>
    <row r="395" spans="1:13" ht="22" customHeight="1" x14ac:dyDescent="0.35">
      <c r="A395" s="21" t="s">
        <v>139</v>
      </c>
      <c r="B395" s="29" t="s">
        <v>140</v>
      </c>
      <c r="C395" s="23"/>
      <c r="D395" s="23"/>
      <c r="E395" s="23"/>
      <c r="F395" s="21">
        <v>4</v>
      </c>
      <c r="G395" s="21">
        <v>3</v>
      </c>
      <c r="H395" s="7">
        <v>45000</v>
      </c>
      <c r="I395" s="7">
        <f>F395*G395*H395</f>
        <v>540000</v>
      </c>
      <c r="L395">
        <v>4</v>
      </c>
      <c r="M395" t="s">
        <v>134</v>
      </c>
    </row>
    <row r="396" spans="1:13" ht="22" customHeight="1" x14ac:dyDescent="0.35">
      <c r="A396" s="21" t="s">
        <v>202</v>
      </c>
      <c r="B396" s="29" t="s">
        <v>68</v>
      </c>
      <c r="C396" s="23"/>
      <c r="D396" s="23"/>
      <c r="E396" s="23"/>
      <c r="F396" s="21">
        <v>4</v>
      </c>
      <c r="G396" s="21">
        <v>3</v>
      </c>
      <c r="H396" s="7">
        <v>57000</v>
      </c>
      <c r="I396" s="7">
        <f>F396*G396*H396</f>
        <v>684000</v>
      </c>
      <c r="J396">
        <v>5</v>
      </c>
      <c r="K396" t="s">
        <v>134</v>
      </c>
    </row>
    <row r="398" spans="1:13" x14ac:dyDescent="0.35">
      <c r="A398" t="s">
        <v>141</v>
      </c>
      <c r="C398" t="s">
        <v>120</v>
      </c>
      <c r="D398" s="40">
        <f>SUM(I392:I396)</f>
        <v>3813936</v>
      </c>
      <c r="E398" s="28"/>
    </row>
    <row r="399" spans="1:13" ht="30" customHeight="1" x14ac:dyDescent="0.35">
      <c r="A399" s="22" t="s">
        <v>142</v>
      </c>
      <c r="C399" s="22" t="s">
        <v>120</v>
      </c>
      <c r="D399" s="31" t="s">
        <v>261</v>
      </c>
      <c r="E399" s="28"/>
      <c r="F399" s="28"/>
      <c r="G399" s="28"/>
      <c r="H399" s="28"/>
      <c r="I399" s="28"/>
      <c r="J399" s="28"/>
      <c r="K399" s="28"/>
      <c r="L399" s="28"/>
      <c r="M399" s="28"/>
    </row>
    <row r="400" spans="1:13" x14ac:dyDescent="0.35">
      <c r="A400" t="s">
        <v>144</v>
      </c>
      <c r="C400" t="s">
        <v>120</v>
      </c>
      <c r="D400" t="s">
        <v>239</v>
      </c>
    </row>
    <row r="401" spans="1:13" x14ac:dyDescent="0.35">
      <c r="D401" t="s">
        <v>240</v>
      </c>
    </row>
    <row r="403" spans="1:13" x14ac:dyDescent="0.35">
      <c r="A403" s="2" t="s">
        <v>147</v>
      </c>
      <c r="D403" s="27" t="s">
        <v>131</v>
      </c>
      <c r="E403" s="28"/>
      <c r="F403" s="2" t="s">
        <v>148</v>
      </c>
      <c r="K403" s="2" t="s">
        <v>149</v>
      </c>
      <c r="M403" s="2" t="s">
        <v>78</v>
      </c>
    </row>
    <row r="405" spans="1:13" x14ac:dyDescent="0.35">
      <c r="A405" t="s">
        <v>150</v>
      </c>
      <c r="K405" t="s">
        <v>241</v>
      </c>
      <c r="M405" s="10">
        <f>D398</f>
        <v>3813936</v>
      </c>
    </row>
    <row r="408" spans="1:13" x14ac:dyDescent="0.35">
      <c r="A408" t="s">
        <v>152</v>
      </c>
    </row>
    <row r="411" spans="1:13" x14ac:dyDescent="0.35">
      <c r="A411" t="s">
        <v>153</v>
      </c>
    </row>
    <row r="414" spans="1:13" x14ac:dyDescent="0.35">
      <c r="A414" t="s">
        <v>154</v>
      </c>
    </row>
    <row r="417" spans="1:13" ht="15.5" x14ac:dyDescent="0.35">
      <c r="B417" s="1" t="s">
        <v>114</v>
      </c>
    </row>
    <row r="418" spans="1:13" ht="15.5" x14ac:dyDescent="0.35">
      <c r="B418" s="1" t="s">
        <v>115</v>
      </c>
    </row>
    <row r="419" spans="1:13" x14ac:dyDescent="0.35">
      <c r="B419" s="18" t="s">
        <v>116</v>
      </c>
    </row>
    <row r="420" spans="1:13" x14ac:dyDescent="0.35">
      <c r="A420" s="19"/>
      <c r="B420" s="20" t="s">
        <v>117</v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</row>
    <row r="422" spans="1:13" x14ac:dyDescent="0.35">
      <c r="A422" s="37" t="s">
        <v>118</v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</row>
    <row r="423" spans="1:13" x14ac:dyDescent="0.35">
      <c r="J423" t="s">
        <v>119</v>
      </c>
      <c r="L423" t="s">
        <v>120</v>
      </c>
      <c r="M423" t="s">
        <v>121</v>
      </c>
    </row>
    <row r="424" spans="1:13" x14ac:dyDescent="0.35">
      <c r="A424" t="s">
        <v>122</v>
      </c>
      <c r="D424" s="2" t="s">
        <v>262</v>
      </c>
    </row>
    <row r="426" spans="1:13" x14ac:dyDescent="0.35">
      <c r="A426" s="3" t="s">
        <v>124</v>
      </c>
      <c r="B426" s="26" t="s">
        <v>125</v>
      </c>
      <c r="C426" s="23"/>
      <c r="D426" s="23"/>
      <c r="E426" s="23"/>
      <c r="F426" s="3" t="s">
        <v>78</v>
      </c>
      <c r="G426" s="3" t="s">
        <v>126</v>
      </c>
      <c r="H426" s="3" t="s">
        <v>127</v>
      </c>
      <c r="I426" s="3" t="s">
        <v>78</v>
      </c>
      <c r="J426" s="26" t="s">
        <v>131</v>
      </c>
      <c r="K426" s="23"/>
      <c r="L426" s="23"/>
      <c r="M426" s="23"/>
    </row>
    <row r="427" spans="1:13" ht="22" customHeight="1" x14ac:dyDescent="0.35">
      <c r="A427" s="21" t="s">
        <v>132</v>
      </c>
      <c r="B427" s="29" t="s">
        <v>163</v>
      </c>
      <c r="C427" s="23"/>
      <c r="D427" s="23"/>
      <c r="E427" s="23"/>
      <c r="F427" s="21">
        <v>4</v>
      </c>
      <c r="G427" s="21">
        <v>3</v>
      </c>
      <c r="H427" s="7">
        <v>76912</v>
      </c>
      <c r="I427" s="7">
        <f>F427*G427*H427</f>
        <v>922944</v>
      </c>
      <c r="J427">
        <v>1</v>
      </c>
      <c r="K427" t="s">
        <v>134</v>
      </c>
    </row>
    <row r="428" spans="1:13" ht="22" customHeight="1" x14ac:dyDescent="0.35">
      <c r="A428" s="21" t="s">
        <v>135</v>
      </c>
      <c r="B428" s="29" t="s">
        <v>136</v>
      </c>
      <c r="C428" s="23"/>
      <c r="D428" s="23"/>
      <c r="E428" s="23"/>
      <c r="F428" s="21">
        <v>4</v>
      </c>
      <c r="G428" s="21">
        <v>3</v>
      </c>
      <c r="H428" s="7">
        <v>76912</v>
      </c>
      <c r="I428" s="7">
        <f>F428*G428*H428</f>
        <v>922944</v>
      </c>
      <c r="L428">
        <v>2</v>
      </c>
      <c r="M428" t="s">
        <v>134</v>
      </c>
    </row>
    <row r="429" spans="1:13" ht="22" customHeight="1" x14ac:dyDescent="0.35">
      <c r="A429" s="21" t="s">
        <v>137</v>
      </c>
      <c r="B429" s="29" t="s">
        <v>197</v>
      </c>
      <c r="C429" s="23"/>
      <c r="D429" s="23"/>
      <c r="E429" s="23"/>
      <c r="F429" s="21">
        <v>4</v>
      </c>
      <c r="G429" s="21">
        <v>3</v>
      </c>
      <c r="H429" s="7">
        <v>63787</v>
      </c>
      <c r="I429" s="7">
        <f>F429*G429*H429</f>
        <v>765444</v>
      </c>
      <c r="J429">
        <v>3</v>
      </c>
      <c r="K429" t="s">
        <v>134</v>
      </c>
    </row>
    <row r="430" spans="1:13" ht="22" customHeight="1" x14ac:dyDescent="0.35">
      <c r="A430" s="21" t="s">
        <v>139</v>
      </c>
      <c r="B430" s="29" t="s">
        <v>224</v>
      </c>
      <c r="C430" s="23"/>
      <c r="D430" s="23"/>
      <c r="E430" s="23"/>
      <c r="F430" s="21">
        <v>4</v>
      </c>
      <c r="G430" s="21">
        <v>3</v>
      </c>
      <c r="H430" s="7">
        <v>66465</v>
      </c>
      <c r="I430" s="7">
        <f>F430*G430*H430</f>
        <v>797580</v>
      </c>
      <c r="L430">
        <v>4</v>
      </c>
      <c r="M430" t="s">
        <v>134</v>
      </c>
    </row>
    <row r="432" spans="1:13" x14ac:dyDescent="0.35">
      <c r="A432" t="s">
        <v>141</v>
      </c>
      <c r="C432" t="s">
        <v>120</v>
      </c>
      <c r="D432" s="40">
        <f>SUM(I427:I430)</f>
        <v>3408912</v>
      </c>
      <c r="E432" s="28"/>
    </row>
    <row r="433" spans="1:13" ht="30" customHeight="1" x14ac:dyDescent="0.35">
      <c r="A433" s="22" t="s">
        <v>142</v>
      </c>
      <c r="C433" s="22" t="s">
        <v>120</v>
      </c>
      <c r="D433" s="31" t="s">
        <v>263</v>
      </c>
      <c r="E433" s="28"/>
      <c r="F433" s="28"/>
      <c r="G433" s="28"/>
      <c r="H433" s="28"/>
      <c r="I433" s="28"/>
      <c r="J433" s="28"/>
      <c r="K433" s="28"/>
      <c r="L433" s="28"/>
      <c r="M433" s="28"/>
    </row>
    <row r="434" spans="1:13" x14ac:dyDescent="0.35">
      <c r="A434" t="s">
        <v>144</v>
      </c>
      <c r="C434" t="s">
        <v>120</v>
      </c>
      <c r="D434" t="s">
        <v>239</v>
      </c>
    </row>
    <row r="435" spans="1:13" x14ac:dyDescent="0.35">
      <c r="D435" t="s">
        <v>240</v>
      </c>
    </row>
    <row r="437" spans="1:13" x14ac:dyDescent="0.35">
      <c r="A437" s="2" t="s">
        <v>147</v>
      </c>
      <c r="D437" s="27" t="s">
        <v>131</v>
      </c>
      <c r="E437" s="28"/>
      <c r="F437" s="2" t="s">
        <v>148</v>
      </c>
      <c r="K437" s="2" t="s">
        <v>149</v>
      </c>
      <c r="M437" s="2" t="s">
        <v>78</v>
      </c>
    </row>
    <row r="439" spans="1:13" x14ac:dyDescent="0.35">
      <c r="A439" t="s">
        <v>150</v>
      </c>
      <c r="K439" t="s">
        <v>241</v>
      </c>
      <c r="M439" s="10">
        <f>D432</f>
        <v>3408912</v>
      </c>
    </row>
    <row r="442" spans="1:13" x14ac:dyDescent="0.35">
      <c r="A442" t="s">
        <v>152</v>
      </c>
    </row>
    <row r="445" spans="1:13" x14ac:dyDescent="0.35">
      <c r="A445" t="s">
        <v>153</v>
      </c>
    </row>
    <row r="448" spans="1:13" x14ac:dyDescent="0.35">
      <c r="A448" t="s">
        <v>154</v>
      </c>
    </row>
    <row r="451" spans="1:13" ht="15.5" x14ac:dyDescent="0.35">
      <c r="B451" s="1" t="s">
        <v>114</v>
      </c>
    </row>
    <row r="452" spans="1:13" ht="15.5" x14ac:dyDescent="0.35">
      <c r="B452" s="1" t="s">
        <v>115</v>
      </c>
    </row>
    <row r="453" spans="1:13" x14ac:dyDescent="0.35">
      <c r="B453" s="18" t="s">
        <v>116</v>
      </c>
    </row>
    <row r="454" spans="1:13" x14ac:dyDescent="0.35">
      <c r="A454" s="19"/>
      <c r="B454" s="20" t="s">
        <v>117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</row>
    <row r="456" spans="1:13" x14ac:dyDescent="0.35">
      <c r="A456" s="37" t="s">
        <v>118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</row>
    <row r="457" spans="1:13" x14ac:dyDescent="0.35">
      <c r="J457" t="s">
        <v>119</v>
      </c>
      <c r="L457" t="s">
        <v>120</v>
      </c>
      <c r="M457" t="s">
        <v>121</v>
      </c>
    </row>
    <row r="458" spans="1:13" x14ac:dyDescent="0.35">
      <c r="A458" t="s">
        <v>122</v>
      </c>
      <c r="D458" s="2" t="s">
        <v>264</v>
      </c>
    </row>
    <row r="460" spans="1:13" x14ac:dyDescent="0.35">
      <c r="A460" s="3" t="s">
        <v>124</v>
      </c>
      <c r="B460" s="26" t="s">
        <v>125</v>
      </c>
      <c r="C460" s="23"/>
      <c r="D460" s="23"/>
      <c r="E460" s="23"/>
      <c r="F460" s="3" t="s">
        <v>78</v>
      </c>
      <c r="G460" s="3" t="s">
        <v>126</v>
      </c>
      <c r="H460" s="3" t="s">
        <v>127</v>
      </c>
      <c r="I460" s="3" t="s">
        <v>78</v>
      </c>
      <c r="J460" s="26" t="s">
        <v>131</v>
      </c>
      <c r="K460" s="23"/>
      <c r="L460" s="23"/>
      <c r="M460" s="23"/>
    </row>
    <row r="461" spans="1:13" ht="22" customHeight="1" x14ac:dyDescent="0.35">
      <c r="A461" s="21" t="s">
        <v>132</v>
      </c>
      <c r="B461" s="29" t="s">
        <v>71</v>
      </c>
      <c r="C461" s="23"/>
      <c r="D461" s="23"/>
      <c r="E461" s="23"/>
      <c r="F461" s="21">
        <v>4</v>
      </c>
      <c r="G461" s="21">
        <v>3</v>
      </c>
      <c r="H461" s="7">
        <v>78225</v>
      </c>
      <c r="I461" s="7">
        <f>F461*G461*H461</f>
        <v>938700</v>
      </c>
      <c r="J461">
        <v>1</v>
      </c>
      <c r="K461" t="s">
        <v>134</v>
      </c>
    </row>
    <row r="462" spans="1:13" ht="22" customHeight="1" x14ac:dyDescent="0.35">
      <c r="A462" s="21" t="s">
        <v>135</v>
      </c>
      <c r="B462" s="29" t="s">
        <v>162</v>
      </c>
      <c r="C462" s="23"/>
      <c r="D462" s="23"/>
      <c r="E462" s="23"/>
      <c r="F462" s="21">
        <v>4</v>
      </c>
      <c r="G462" s="21">
        <v>3</v>
      </c>
      <c r="H462" s="7">
        <v>78225</v>
      </c>
      <c r="I462" s="7">
        <f>F462*G462*H462</f>
        <v>938700</v>
      </c>
      <c r="L462">
        <v>2</v>
      </c>
      <c r="M462" t="s">
        <v>134</v>
      </c>
    </row>
    <row r="463" spans="1:13" ht="22" customHeight="1" x14ac:dyDescent="0.35">
      <c r="A463" s="21" t="s">
        <v>137</v>
      </c>
      <c r="B463" s="29" t="s">
        <v>208</v>
      </c>
      <c r="C463" s="23"/>
      <c r="D463" s="23"/>
      <c r="E463" s="23"/>
      <c r="F463" s="21">
        <v>4</v>
      </c>
      <c r="G463" s="21">
        <v>3</v>
      </c>
      <c r="H463" s="7">
        <v>51975</v>
      </c>
      <c r="I463" s="7">
        <f>F463*G463*H463</f>
        <v>623700</v>
      </c>
      <c r="J463">
        <v>3</v>
      </c>
      <c r="K463" t="s">
        <v>134</v>
      </c>
    </row>
    <row r="464" spans="1:13" ht="22" customHeight="1" x14ac:dyDescent="0.35">
      <c r="A464" s="21" t="s">
        <v>139</v>
      </c>
      <c r="B464" s="29" t="s">
        <v>164</v>
      </c>
      <c r="C464" s="23"/>
      <c r="D464" s="23"/>
      <c r="E464" s="23"/>
      <c r="F464" s="21">
        <v>4</v>
      </c>
      <c r="G464" s="21">
        <v>3</v>
      </c>
      <c r="H464" s="7">
        <v>45000</v>
      </c>
      <c r="I464" s="7">
        <f>F464*G464*H464</f>
        <v>540000</v>
      </c>
      <c r="L464">
        <v>4</v>
      </c>
      <c r="M464" t="s">
        <v>134</v>
      </c>
    </row>
    <row r="465" spans="1:13" ht="22" customHeight="1" x14ac:dyDescent="0.35">
      <c r="A465" s="21" t="s">
        <v>202</v>
      </c>
      <c r="B465" s="29" t="s">
        <v>221</v>
      </c>
      <c r="C465" s="23"/>
      <c r="D465" s="23"/>
      <c r="E465" s="23"/>
      <c r="F465" s="21">
        <v>4</v>
      </c>
      <c r="G465" s="21">
        <v>3</v>
      </c>
      <c r="H465" s="7">
        <v>56332</v>
      </c>
      <c r="I465" s="7">
        <f>F465*G465*H465</f>
        <v>675984</v>
      </c>
      <c r="J465">
        <v>5</v>
      </c>
      <c r="K465" t="s">
        <v>134</v>
      </c>
    </row>
    <row r="467" spans="1:13" x14ac:dyDescent="0.35">
      <c r="A467" t="s">
        <v>141</v>
      </c>
      <c r="C467" t="s">
        <v>120</v>
      </c>
      <c r="D467" s="40">
        <f>SUM(I461:I465)</f>
        <v>3717084</v>
      </c>
      <c r="E467" s="28"/>
    </row>
    <row r="468" spans="1:13" ht="30" customHeight="1" x14ac:dyDescent="0.35">
      <c r="A468" s="22" t="s">
        <v>142</v>
      </c>
      <c r="C468" s="22" t="s">
        <v>120</v>
      </c>
      <c r="D468" s="31" t="s">
        <v>265</v>
      </c>
      <c r="E468" s="28"/>
      <c r="F468" s="28"/>
      <c r="G468" s="28"/>
      <c r="H468" s="28"/>
      <c r="I468" s="28"/>
      <c r="J468" s="28"/>
      <c r="K468" s="28"/>
      <c r="L468" s="28"/>
      <c r="M468" s="28"/>
    </row>
    <row r="469" spans="1:13" x14ac:dyDescent="0.35">
      <c r="A469" t="s">
        <v>144</v>
      </c>
      <c r="C469" t="s">
        <v>120</v>
      </c>
      <c r="D469" t="s">
        <v>239</v>
      </c>
    </row>
    <row r="470" spans="1:13" x14ac:dyDescent="0.35">
      <c r="D470" t="s">
        <v>240</v>
      </c>
    </row>
    <row r="472" spans="1:13" x14ac:dyDescent="0.35">
      <c r="A472" s="2" t="s">
        <v>147</v>
      </c>
      <c r="D472" s="27" t="s">
        <v>131</v>
      </c>
      <c r="E472" s="28"/>
      <c r="F472" s="2" t="s">
        <v>148</v>
      </c>
      <c r="K472" s="2" t="s">
        <v>149</v>
      </c>
      <c r="M472" s="2" t="s">
        <v>78</v>
      </c>
    </row>
    <row r="474" spans="1:13" x14ac:dyDescent="0.35">
      <c r="A474" t="s">
        <v>150</v>
      </c>
      <c r="K474" t="s">
        <v>241</v>
      </c>
      <c r="M474" s="10">
        <f>D467</f>
        <v>3717084</v>
      </c>
    </row>
    <row r="477" spans="1:13" x14ac:dyDescent="0.35">
      <c r="A477" t="s">
        <v>152</v>
      </c>
    </row>
    <row r="480" spans="1:13" x14ac:dyDescent="0.35">
      <c r="A480" t="s">
        <v>153</v>
      </c>
    </row>
    <row r="483" spans="1:1" x14ac:dyDescent="0.35">
      <c r="A483" t="s">
        <v>154</v>
      </c>
    </row>
  </sheetData>
  <mergeCells count="192">
    <mergeCell ref="A3:M3"/>
    <mergeCell ref="D53:M53"/>
    <mergeCell ref="B10:E10"/>
    <mergeCell ref="D467:E467"/>
    <mergeCell ref="B359:E359"/>
    <mergeCell ref="G18:I18"/>
    <mergeCell ref="B5:E5"/>
    <mergeCell ref="J115:M115"/>
    <mergeCell ref="B189:E189"/>
    <mergeCell ref="B85:E85"/>
    <mergeCell ref="B256:E256"/>
    <mergeCell ref="D260:M260"/>
    <mergeCell ref="J287:M287"/>
    <mergeCell ref="B356:E356"/>
    <mergeCell ref="B188:E188"/>
    <mergeCell ref="J150:M150"/>
    <mergeCell ref="D57:E57"/>
    <mergeCell ref="D88:M88"/>
    <mergeCell ref="D293:E293"/>
    <mergeCell ref="D34:J34"/>
    <mergeCell ref="A352:M352"/>
    <mergeCell ref="J14:M14"/>
    <mergeCell ref="B150:E150"/>
    <mergeCell ref="D225:E225"/>
    <mergeCell ref="B321:E321"/>
    <mergeCell ref="B46:E46"/>
    <mergeCell ref="J13:M13"/>
    <mergeCell ref="A1:M1"/>
    <mergeCell ref="D398:E398"/>
    <mergeCell ref="B460:E460"/>
    <mergeCell ref="D259:E259"/>
    <mergeCell ref="D264:E264"/>
    <mergeCell ref="B120:E120"/>
    <mergeCell ref="G12:I12"/>
    <mergeCell ref="D196:E196"/>
    <mergeCell ref="B358:E358"/>
    <mergeCell ref="B17:E17"/>
    <mergeCell ref="D432:E432"/>
    <mergeCell ref="D92:E92"/>
    <mergeCell ref="D157:E157"/>
    <mergeCell ref="D328:E328"/>
    <mergeCell ref="D368:E368"/>
    <mergeCell ref="J16:M16"/>
    <mergeCell ref="G7:I7"/>
    <mergeCell ref="B257:E257"/>
    <mergeCell ref="B9:E9"/>
    <mergeCell ref="B187:E187"/>
    <mergeCell ref="D191:E191"/>
    <mergeCell ref="B83:E83"/>
    <mergeCell ref="B254:E254"/>
    <mergeCell ref="D87:E87"/>
    <mergeCell ref="G5:I5"/>
    <mergeCell ref="A111:M111"/>
    <mergeCell ref="B153:E153"/>
    <mergeCell ref="D399:M399"/>
    <mergeCell ref="B395:E395"/>
    <mergeCell ref="B7:E7"/>
    <mergeCell ref="B185:E185"/>
    <mergeCell ref="B81:E81"/>
    <mergeCell ref="B357:E357"/>
    <mergeCell ref="D162:E162"/>
    <mergeCell ref="B291:E291"/>
    <mergeCell ref="B152:E152"/>
    <mergeCell ref="B323:E323"/>
    <mergeCell ref="B48:E48"/>
    <mergeCell ref="D122:E122"/>
    <mergeCell ref="B219:E219"/>
    <mergeCell ref="J6:M6"/>
    <mergeCell ref="J15:M15"/>
    <mergeCell ref="B322:E322"/>
    <mergeCell ref="J80:M80"/>
    <mergeCell ref="J7:M7"/>
    <mergeCell ref="G11:I11"/>
    <mergeCell ref="B396:E396"/>
    <mergeCell ref="B8:E8"/>
    <mergeCell ref="B6:E6"/>
    <mergeCell ref="J356:M356"/>
    <mergeCell ref="D294:M294"/>
    <mergeCell ref="J12:M12"/>
    <mergeCell ref="B15:E15"/>
    <mergeCell ref="J46:M46"/>
    <mergeCell ref="D192:M192"/>
    <mergeCell ref="B80:E80"/>
    <mergeCell ref="D226:M226"/>
    <mergeCell ref="D52:E52"/>
    <mergeCell ref="J185:M185"/>
    <mergeCell ref="D123:M123"/>
    <mergeCell ref="J219:M219"/>
    <mergeCell ref="A317:M317"/>
    <mergeCell ref="B82:E82"/>
    <mergeCell ref="A19:E19"/>
    <mergeCell ref="G8:I8"/>
    <mergeCell ref="B116:E116"/>
    <mergeCell ref="G17:I17"/>
    <mergeCell ref="B392:E392"/>
    <mergeCell ref="B186:E186"/>
    <mergeCell ref="B288:E288"/>
    <mergeCell ref="B84:E84"/>
    <mergeCell ref="A76:M76"/>
    <mergeCell ref="B118:E118"/>
    <mergeCell ref="G10:I10"/>
    <mergeCell ref="A181:M181"/>
    <mergeCell ref="G19:I19"/>
    <mergeCell ref="D329:M329"/>
    <mergeCell ref="B465:E465"/>
    <mergeCell ref="D230:E230"/>
    <mergeCell ref="B11:E11"/>
    <mergeCell ref="B253:E253"/>
    <mergeCell ref="B117:E117"/>
    <mergeCell ref="B287:E287"/>
    <mergeCell ref="D403:E403"/>
    <mergeCell ref="B430:E430"/>
    <mergeCell ref="B119:E119"/>
    <mergeCell ref="B464:E464"/>
    <mergeCell ref="B289:E289"/>
    <mergeCell ref="J11:M11"/>
    <mergeCell ref="B394:E394"/>
    <mergeCell ref="B393:E393"/>
    <mergeCell ref="J460:M460"/>
    <mergeCell ref="B461:E461"/>
    <mergeCell ref="A2:M2"/>
    <mergeCell ref="J321:M321"/>
    <mergeCell ref="A42:M42"/>
    <mergeCell ref="D333:E333"/>
    <mergeCell ref="B255:E255"/>
    <mergeCell ref="B426:E426"/>
    <mergeCell ref="B49:E49"/>
    <mergeCell ref="G6:I6"/>
    <mergeCell ref="A27:F27"/>
    <mergeCell ref="A215:M215"/>
    <mergeCell ref="B222:E222"/>
    <mergeCell ref="D29:J29"/>
    <mergeCell ref="B154:E154"/>
    <mergeCell ref="B324:E324"/>
    <mergeCell ref="G14:I14"/>
    <mergeCell ref="B50:E50"/>
    <mergeCell ref="J8:M8"/>
    <mergeCell ref="B16:E16"/>
    <mergeCell ref="A22:F22"/>
    <mergeCell ref="A387:M387"/>
    <mergeCell ref="J10:M10"/>
    <mergeCell ref="J426:M426"/>
    <mergeCell ref="B18:E18"/>
    <mergeCell ref="B223:E223"/>
    <mergeCell ref="J5:M5"/>
    <mergeCell ref="J19:M19"/>
    <mergeCell ref="B115:E115"/>
    <mergeCell ref="B155:E155"/>
    <mergeCell ref="B326:E326"/>
    <mergeCell ref="G16:I16"/>
    <mergeCell ref="B391:E391"/>
    <mergeCell ref="D364:M364"/>
    <mergeCell ref="J9:M9"/>
    <mergeCell ref="B12:E12"/>
    <mergeCell ref="A146:M146"/>
    <mergeCell ref="D363:E363"/>
    <mergeCell ref="G9:I9"/>
    <mergeCell ref="B151:E151"/>
    <mergeCell ref="D127:E127"/>
    <mergeCell ref="A283:M283"/>
    <mergeCell ref="B14:E14"/>
    <mergeCell ref="H22:M23"/>
    <mergeCell ref="B290:E290"/>
    <mergeCell ref="B13:E13"/>
    <mergeCell ref="J391:M391"/>
    <mergeCell ref="D158:M158"/>
    <mergeCell ref="B220:E220"/>
    <mergeCell ref="D298:E298"/>
    <mergeCell ref="H21:M21"/>
    <mergeCell ref="B360:E360"/>
    <mergeCell ref="G13:I13"/>
    <mergeCell ref="B428:E428"/>
    <mergeCell ref="B463:E463"/>
    <mergeCell ref="D472:E472"/>
    <mergeCell ref="J18:M18"/>
    <mergeCell ref="G15:I15"/>
    <mergeCell ref="B325:E325"/>
    <mergeCell ref="B221:E221"/>
    <mergeCell ref="A249:M249"/>
    <mergeCell ref="B361:E361"/>
    <mergeCell ref="J17:M17"/>
    <mergeCell ref="J253:M253"/>
    <mergeCell ref="D433:M433"/>
    <mergeCell ref="H27:M27"/>
    <mergeCell ref="B47:E47"/>
    <mergeCell ref="A422:M422"/>
    <mergeCell ref="D468:M468"/>
    <mergeCell ref="A456:M456"/>
    <mergeCell ref="B427:E427"/>
    <mergeCell ref="D437:E437"/>
    <mergeCell ref="B462:E462"/>
    <mergeCell ref="B429:E429"/>
  </mergeCells>
  <pageMargins left="0.5" right="0.5" top="0.6" bottom="0.6" header="0.5" footer="0.5"/>
  <pageSetup paperSize="9" fitToHeight="0" orientation="portrait"/>
  <rowBreaks count="13" manualBreakCount="13">
    <brk id="35" max="16383" man="1"/>
    <brk id="69" max="16383" man="1"/>
    <brk id="104" max="16383" man="1"/>
    <brk id="139" max="16383" man="1"/>
    <brk id="174" max="16383" man="1"/>
    <brk id="208" max="16383" man="1"/>
    <brk id="242" max="16383" man="1"/>
    <brk id="276" max="16383" man="1"/>
    <brk id="310" max="16383" man="1"/>
    <brk id="345" max="16383" man="1"/>
    <brk id="380" max="16383" man="1"/>
    <brk id="415" max="16383" man="1"/>
    <brk id="44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83"/>
  <sheetViews>
    <sheetView workbookViewId="0"/>
  </sheetViews>
  <sheetFormatPr defaultRowHeight="14.5" x14ac:dyDescent="0.35"/>
  <cols>
    <col min="1" max="1" width="6.90625" customWidth="1"/>
    <col min="2" max="2" width="11.26953125" customWidth="1"/>
    <col min="3" max="3" width="3.7265625" customWidth="1"/>
    <col min="4" max="4" width="9.08984375" customWidth="1"/>
    <col min="5" max="5" width="13.6328125" customWidth="1"/>
    <col min="6" max="6" width="8" customWidth="1"/>
    <col min="7" max="7" width="5.1796875" customWidth="1"/>
    <col min="8" max="8" width="10" customWidth="1"/>
    <col min="9" max="10" width="12" customWidth="1"/>
    <col min="11" max="11" width="13" customWidth="1"/>
    <col min="12" max="12" width="4.08984375" customWidth="1"/>
    <col min="13" max="13" width="11.453125" customWidth="1"/>
    <col min="14" max="14" width="3.90625" customWidth="1"/>
    <col min="15" max="15" width="13.453125" customWidth="1"/>
  </cols>
  <sheetData>
    <row r="1" spans="1:15" x14ac:dyDescent="0.35">
      <c r="A1" s="42" t="s">
        <v>233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35">
      <c r="A2" s="33" t="s">
        <v>93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x14ac:dyDescent="0.35">
      <c r="A3" s="33" t="s">
        <v>266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35">
      <c r="A4" s="44" t="s">
        <v>267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30" customHeight="1" x14ac:dyDescent="0.35">
      <c r="A5" s="3" t="s">
        <v>96</v>
      </c>
      <c r="B5" s="26" t="s">
        <v>4</v>
      </c>
      <c r="C5" s="23"/>
      <c r="D5" s="23"/>
      <c r="E5" s="23"/>
      <c r="F5" s="3" t="s">
        <v>97</v>
      </c>
      <c r="G5" s="26" t="s">
        <v>98</v>
      </c>
      <c r="H5" s="23"/>
      <c r="I5" s="23"/>
      <c r="J5" s="3" t="s">
        <v>99</v>
      </c>
      <c r="K5" s="3" t="s">
        <v>100</v>
      </c>
      <c r="L5" s="26" t="s">
        <v>54</v>
      </c>
      <c r="M5" s="23"/>
      <c r="N5" s="23"/>
      <c r="O5" s="23"/>
    </row>
    <row r="6" spans="1:15" ht="15" customHeight="1" x14ac:dyDescent="0.35">
      <c r="A6" s="13">
        <v>1</v>
      </c>
      <c r="B6" s="39" t="s">
        <v>12</v>
      </c>
      <c r="C6" s="23"/>
      <c r="D6" s="23"/>
      <c r="E6" s="23"/>
      <c r="F6" s="13">
        <v>4</v>
      </c>
      <c r="G6" s="30">
        <f>SUM(I47:I50)</f>
        <v>3292368</v>
      </c>
      <c r="H6" s="23"/>
      <c r="I6" s="23"/>
      <c r="J6" s="15">
        <f>SUM(J47:J50)</f>
        <v>0</v>
      </c>
      <c r="K6" s="14">
        <f>D52</f>
        <v>3292368</v>
      </c>
      <c r="L6" s="34"/>
      <c r="M6" s="23"/>
      <c r="N6" s="23"/>
      <c r="O6" s="23"/>
    </row>
    <row r="7" spans="1:15" ht="15" customHeight="1" x14ac:dyDescent="0.35">
      <c r="A7" s="13">
        <v>2</v>
      </c>
      <c r="B7" s="39" t="s">
        <v>13</v>
      </c>
      <c r="C7" s="23"/>
      <c r="D7" s="23"/>
      <c r="E7" s="23"/>
      <c r="F7" s="13">
        <v>5</v>
      </c>
      <c r="G7" s="30">
        <f>SUM(I81:I85)</f>
        <v>3745524</v>
      </c>
      <c r="H7" s="23"/>
      <c r="I7" s="23"/>
      <c r="J7" s="15">
        <f>SUM(J81:J85)</f>
        <v>0</v>
      </c>
      <c r="K7" s="14">
        <f>D87</f>
        <v>3745524</v>
      </c>
      <c r="L7" s="34"/>
      <c r="M7" s="23"/>
      <c r="N7" s="23"/>
      <c r="O7" s="23"/>
    </row>
    <row r="8" spans="1:15" ht="15" customHeight="1" x14ac:dyDescent="0.35">
      <c r="A8" s="13">
        <v>3</v>
      </c>
      <c r="B8" s="39" t="s">
        <v>14</v>
      </c>
      <c r="C8" s="23"/>
      <c r="D8" s="23"/>
      <c r="E8" s="23"/>
      <c r="F8" s="13">
        <v>5</v>
      </c>
      <c r="G8" s="30">
        <f>SUM(I116:I120)</f>
        <v>3622584</v>
      </c>
      <c r="H8" s="23"/>
      <c r="I8" s="23"/>
      <c r="J8" s="15">
        <f>SUM(J116:J120)</f>
        <v>0</v>
      </c>
      <c r="K8" s="14">
        <f>D122</f>
        <v>3622584</v>
      </c>
      <c r="L8" s="34"/>
      <c r="M8" s="23"/>
      <c r="N8" s="23"/>
      <c r="O8" s="23"/>
    </row>
    <row r="9" spans="1:15" ht="15" customHeight="1" x14ac:dyDescent="0.35">
      <c r="A9" s="13">
        <v>4</v>
      </c>
      <c r="B9" s="39" t="s">
        <v>15</v>
      </c>
      <c r="C9" s="23"/>
      <c r="D9" s="23"/>
      <c r="E9" s="23"/>
      <c r="F9" s="13">
        <v>5</v>
      </c>
      <c r="G9" s="30">
        <f>SUM(I151:I155)</f>
        <v>4001136</v>
      </c>
      <c r="H9" s="23"/>
      <c r="I9" s="23"/>
      <c r="J9" s="15">
        <f>SUM(J151:J155)</f>
        <v>0</v>
      </c>
      <c r="K9" s="14">
        <f>D157</f>
        <v>4001136</v>
      </c>
      <c r="L9" s="34"/>
      <c r="M9" s="23"/>
      <c r="N9" s="23"/>
      <c r="O9" s="23"/>
    </row>
    <row r="10" spans="1:15" ht="15" customHeight="1" x14ac:dyDescent="0.35">
      <c r="A10" s="13">
        <v>5</v>
      </c>
      <c r="B10" s="39" t="s">
        <v>16</v>
      </c>
      <c r="C10" s="23"/>
      <c r="D10" s="23"/>
      <c r="E10" s="23"/>
      <c r="F10" s="13">
        <v>4</v>
      </c>
      <c r="G10" s="30">
        <f>SUM(I186:I189)</f>
        <v>2993760</v>
      </c>
      <c r="H10" s="23"/>
      <c r="I10" s="23"/>
      <c r="J10" s="15">
        <f>SUM(J186:J189)</f>
        <v>0</v>
      </c>
      <c r="K10" s="14">
        <f>D191</f>
        <v>2993760</v>
      </c>
      <c r="L10" s="34"/>
      <c r="M10" s="23"/>
      <c r="N10" s="23"/>
      <c r="O10" s="23"/>
    </row>
    <row r="11" spans="1:15" ht="27" customHeight="1" x14ac:dyDescent="0.35">
      <c r="A11" s="13">
        <v>6</v>
      </c>
      <c r="B11" s="39" t="s">
        <v>17</v>
      </c>
      <c r="C11" s="23"/>
      <c r="D11" s="23"/>
      <c r="E11" s="23"/>
      <c r="F11" s="13">
        <v>4</v>
      </c>
      <c r="G11" s="30">
        <f>SUM(I220:I223)</f>
        <v>3154320</v>
      </c>
      <c r="H11" s="23"/>
      <c r="I11" s="23"/>
      <c r="J11" s="15">
        <f>SUM(J220:J223)</f>
        <v>-173256</v>
      </c>
      <c r="K11" s="14">
        <f>D225</f>
        <v>2981064</v>
      </c>
      <c r="L11" s="34" t="s">
        <v>268</v>
      </c>
      <c r="M11" s="23"/>
      <c r="N11" s="23"/>
      <c r="O11" s="23"/>
    </row>
    <row r="12" spans="1:15" ht="15" customHeight="1" x14ac:dyDescent="0.35">
      <c r="A12" s="13">
        <v>7</v>
      </c>
      <c r="B12" s="39" t="s">
        <v>18</v>
      </c>
      <c r="C12" s="23"/>
      <c r="D12" s="23"/>
      <c r="E12" s="23"/>
      <c r="F12" s="13">
        <v>4</v>
      </c>
      <c r="G12" s="30">
        <f>SUM(I254:I257)</f>
        <v>3331428</v>
      </c>
      <c r="H12" s="23"/>
      <c r="I12" s="23"/>
      <c r="J12" s="15">
        <f>SUM(J254:J257)</f>
        <v>88200</v>
      </c>
      <c r="K12" s="14">
        <f>D259</f>
        <v>3419628</v>
      </c>
      <c r="L12" s="34" t="s">
        <v>269</v>
      </c>
      <c r="M12" s="23"/>
      <c r="N12" s="23"/>
      <c r="O12" s="23"/>
    </row>
    <row r="13" spans="1:15" ht="15" customHeight="1" x14ac:dyDescent="0.35">
      <c r="A13" s="13">
        <v>8</v>
      </c>
      <c r="B13" s="39" t="s">
        <v>19</v>
      </c>
      <c r="C13" s="23"/>
      <c r="D13" s="23"/>
      <c r="E13" s="23"/>
      <c r="F13" s="13">
        <v>4</v>
      </c>
      <c r="G13" s="30">
        <f>SUM(I288:I291)</f>
        <v>3534924</v>
      </c>
      <c r="H13" s="23"/>
      <c r="I13" s="23"/>
      <c r="J13" s="15">
        <f>SUM(J288:J291)</f>
        <v>0</v>
      </c>
      <c r="K13" s="14">
        <f>D293</f>
        <v>3534924</v>
      </c>
      <c r="L13" s="34"/>
      <c r="M13" s="23"/>
      <c r="N13" s="23"/>
      <c r="O13" s="23"/>
    </row>
    <row r="14" spans="1:15" ht="15" customHeight="1" x14ac:dyDescent="0.35">
      <c r="A14" s="13">
        <v>9</v>
      </c>
      <c r="B14" s="39" t="s">
        <v>20</v>
      </c>
      <c r="C14" s="23"/>
      <c r="D14" s="23"/>
      <c r="E14" s="23"/>
      <c r="F14" s="13">
        <v>5</v>
      </c>
      <c r="G14" s="30">
        <f>SUM(I322:I326)</f>
        <v>3953868</v>
      </c>
      <c r="H14" s="23"/>
      <c r="I14" s="23"/>
      <c r="J14" s="15">
        <f>SUM(J322:J326)</f>
        <v>0</v>
      </c>
      <c r="K14" s="14">
        <f>D328</f>
        <v>3953868</v>
      </c>
      <c r="L14" s="34"/>
      <c r="M14" s="23"/>
      <c r="N14" s="23"/>
      <c r="O14" s="23"/>
    </row>
    <row r="15" spans="1:15" ht="51" customHeight="1" x14ac:dyDescent="0.35">
      <c r="A15" s="13">
        <v>10</v>
      </c>
      <c r="B15" s="39" t="s">
        <v>21</v>
      </c>
      <c r="C15" s="23"/>
      <c r="D15" s="23"/>
      <c r="E15" s="23"/>
      <c r="F15" s="13">
        <v>5</v>
      </c>
      <c r="G15" s="30">
        <f>SUM(I357:I361)</f>
        <v>3698712</v>
      </c>
      <c r="H15" s="23"/>
      <c r="I15" s="23"/>
      <c r="J15" s="15">
        <f>SUM(J357:J361)</f>
        <v>88176</v>
      </c>
      <c r="K15" s="14">
        <f>D363</f>
        <v>3786888</v>
      </c>
      <c r="L15" s="34" t="s">
        <v>270</v>
      </c>
      <c r="M15" s="23"/>
      <c r="N15" s="23"/>
      <c r="O15" s="23"/>
    </row>
    <row r="16" spans="1:15" ht="39" customHeight="1" x14ac:dyDescent="0.35">
      <c r="A16" s="13">
        <v>11</v>
      </c>
      <c r="B16" s="39" t="s">
        <v>22</v>
      </c>
      <c r="C16" s="23"/>
      <c r="D16" s="23"/>
      <c r="E16" s="23"/>
      <c r="F16" s="13">
        <v>5</v>
      </c>
      <c r="G16" s="30">
        <f>SUM(I392:I396)</f>
        <v>3631236</v>
      </c>
      <c r="H16" s="23"/>
      <c r="I16" s="23"/>
      <c r="J16" s="15">
        <f>SUM(J392:J396)</f>
        <v>36000</v>
      </c>
      <c r="K16" s="14">
        <f>D398</f>
        <v>3667236</v>
      </c>
      <c r="L16" s="34" t="s">
        <v>271</v>
      </c>
      <c r="M16" s="23"/>
      <c r="N16" s="23"/>
      <c r="O16" s="23"/>
    </row>
    <row r="17" spans="1:15" ht="15" customHeight="1" x14ac:dyDescent="0.35">
      <c r="A17" s="13">
        <v>12</v>
      </c>
      <c r="B17" s="39" t="s">
        <v>23</v>
      </c>
      <c r="C17" s="23"/>
      <c r="D17" s="23"/>
      <c r="E17" s="23"/>
      <c r="F17" s="13">
        <v>4</v>
      </c>
      <c r="G17" s="30">
        <f>SUM(I427:I430)</f>
        <v>3408912</v>
      </c>
      <c r="H17" s="23"/>
      <c r="I17" s="23"/>
      <c r="J17" s="15">
        <f>SUM(J427:J430)</f>
        <v>0</v>
      </c>
      <c r="K17" s="14">
        <f>D432</f>
        <v>3408912</v>
      </c>
      <c r="L17" s="34"/>
      <c r="M17" s="23"/>
      <c r="N17" s="23"/>
      <c r="O17" s="23"/>
    </row>
    <row r="18" spans="1:15" ht="15" customHeight="1" x14ac:dyDescent="0.35">
      <c r="A18" s="13">
        <v>13</v>
      </c>
      <c r="B18" s="39" t="s">
        <v>24</v>
      </c>
      <c r="C18" s="23"/>
      <c r="D18" s="23"/>
      <c r="E18" s="23"/>
      <c r="F18" s="13">
        <v>5</v>
      </c>
      <c r="G18" s="30">
        <f>SUM(I461:I465)</f>
        <v>3717084</v>
      </c>
      <c r="H18" s="23"/>
      <c r="I18" s="23"/>
      <c r="J18" s="15">
        <f>SUM(J461:J465)</f>
        <v>173256</v>
      </c>
      <c r="K18" s="14">
        <f>D467</f>
        <v>3890340</v>
      </c>
      <c r="L18" s="34" t="s">
        <v>272</v>
      </c>
      <c r="M18" s="23"/>
      <c r="N18" s="23"/>
      <c r="O18" s="23"/>
    </row>
    <row r="19" spans="1:15" x14ac:dyDescent="0.35">
      <c r="A19" s="36" t="s">
        <v>78</v>
      </c>
      <c r="B19" s="23"/>
      <c r="C19" s="23"/>
      <c r="D19" s="23"/>
      <c r="E19" s="23"/>
      <c r="F19" s="16">
        <f>SUM(F6:F18)</f>
        <v>59</v>
      </c>
      <c r="G19" s="41">
        <f>SUM(G6:G18)</f>
        <v>46085856</v>
      </c>
      <c r="H19" s="23"/>
      <c r="I19" s="23"/>
      <c r="J19" s="17">
        <f>SUM(J6:J18)</f>
        <v>212376</v>
      </c>
      <c r="K19" s="8">
        <f>SUM(K6:K18)</f>
        <v>46298232</v>
      </c>
      <c r="L19" s="23"/>
      <c r="M19" s="23"/>
      <c r="N19" s="23"/>
      <c r="O19" s="23"/>
    </row>
    <row r="21" spans="1:15" x14ac:dyDescent="0.35">
      <c r="H21" s="43" t="s">
        <v>109</v>
      </c>
      <c r="I21" s="28"/>
      <c r="J21" s="28"/>
      <c r="K21" s="28"/>
      <c r="L21" s="28"/>
      <c r="M21" s="28"/>
      <c r="N21" s="28"/>
      <c r="O21" s="28"/>
    </row>
    <row r="22" spans="1:15" x14ac:dyDescent="0.35">
      <c r="A22" s="35" t="s">
        <v>110</v>
      </c>
      <c r="B22" s="28"/>
      <c r="C22" s="28"/>
      <c r="D22" s="28"/>
      <c r="E22" s="28"/>
      <c r="F22" s="28"/>
      <c r="H22" s="35" t="s">
        <v>111</v>
      </c>
      <c r="I22" s="28"/>
      <c r="J22" s="28"/>
      <c r="K22" s="28"/>
      <c r="L22" s="28"/>
      <c r="M22" s="28"/>
      <c r="N22" s="28"/>
      <c r="O22" s="28"/>
    </row>
    <row r="23" spans="1:15" x14ac:dyDescent="0.35">
      <c r="H23" s="28"/>
      <c r="I23" s="28"/>
      <c r="J23" s="28"/>
      <c r="K23" s="28"/>
      <c r="L23" s="28"/>
      <c r="M23" s="28"/>
      <c r="N23" s="28"/>
      <c r="O23" s="28"/>
    </row>
    <row r="27" spans="1:15" x14ac:dyDescent="0.35">
      <c r="A27" s="32" t="s">
        <v>62</v>
      </c>
      <c r="B27" s="28"/>
      <c r="C27" s="28"/>
      <c r="D27" s="28"/>
      <c r="E27" s="28"/>
      <c r="F27" s="28"/>
      <c r="H27" s="32" t="s">
        <v>75</v>
      </c>
      <c r="I27" s="28"/>
      <c r="J27" s="28"/>
      <c r="K27" s="28"/>
      <c r="L27" s="28"/>
      <c r="M27" s="28"/>
      <c r="N27" s="28"/>
      <c r="O27" s="28"/>
    </row>
    <row r="29" spans="1:15" x14ac:dyDescent="0.35">
      <c r="D29" s="35" t="s">
        <v>112</v>
      </c>
      <c r="E29" s="28"/>
      <c r="F29" s="28"/>
      <c r="G29" s="28"/>
      <c r="H29" s="28"/>
      <c r="I29" s="28"/>
      <c r="J29" s="28"/>
      <c r="K29" s="28"/>
      <c r="L29" s="28"/>
    </row>
    <row r="34" spans="1:15" x14ac:dyDescent="0.35">
      <c r="D34" s="32" t="s">
        <v>113</v>
      </c>
      <c r="E34" s="28"/>
      <c r="F34" s="28"/>
      <c r="G34" s="28"/>
      <c r="H34" s="28"/>
      <c r="I34" s="28"/>
      <c r="J34" s="28"/>
      <c r="K34" s="28"/>
      <c r="L34" s="28"/>
    </row>
    <row r="37" spans="1:15" ht="15.5" x14ac:dyDescent="0.35">
      <c r="B37" s="1" t="s">
        <v>114</v>
      </c>
    </row>
    <row r="38" spans="1:15" ht="15.5" x14ac:dyDescent="0.35">
      <c r="B38" s="1" t="s">
        <v>115</v>
      </c>
    </row>
    <row r="39" spans="1:15" x14ac:dyDescent="0.35">
      <c r="B39" s="18" t="s">
        <v>116</v>
      </c>
    </row>
    <row r="40" spans="1:15" x14ac:dyDescent="0.35">
      <c r="A40" s="19"/>
      <c r="B40" s="20" t="s">
        <v>117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2" spans="1:15" x14ac:dyDescent="0.35">
      <c r="A42" s="37" t="s">
        <v>118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x14ac:dyDescent="0.35">
      <c r="L43" t="s">
        <v>119</v>
      </c>
      <c r="N43" t="s">
        <v>120</v>
      </c>
      <c r="O43" t="s">
        <v>121</v>
      </c>
    </row>
    <row r="44" spans="1:15" x14ac:dyDescent="0.35">
      <c r="A44" t="s">
        <v>122</v>
      </c>
      <c r="D44" s="2" t="s">
        <v>237</v>
      </c>
    </row>
    <row r="46" spans="1:15" x14ac:dyDescent="0.35">
      <c r="A46" s="3" t="s">
        <v>124</v>
      </c>
      <c r="B46" s="26" t="s">
        <v>125</v>
      </c>
      <c r="C46" s="23"/>
      <c r="D46" s="23"/>
      <c r="E46" s="23"/>
      <c r="F46" s="3" t="s">
        <v>78</v>
      </c>
      <c r="G46" s="3" t="s">
        <v>126</v>
      </c>
      <c r="H46" s="3" t="s">
        <v>127</v>
      </c>
      <c r="I46" s="3" t="s">
        <v>128</v>
      </c>
      <c r="J46" s="3" t="s">
        <v>129</v>
      </c>
      <c r="K46" s="3" t="s">
        <v>130</v>
      </c>
      <c r="L46" s="26" t="s">
        <v>131</v>
      </c>
      <c r="M46" s="23"/>
      <c r="N46" s="23"/>
      <c r="O46" s="23"/>
    </row>
    <row r="47" spans="1:15" ht="22" customHeight="1" x14ac:dyDescent="0.35">
      <c r="A47" s="21" t="s">
        <v>132</v>
      </c>
      <c r="B47" s="29" t="s">
        <v>171</v>
      </c>
      <c r="C47" s="23"/>
      <c r="D47" s="23"/>
      <c r="E47" s="23"/>
      <c r="F47" s="21">
        <v>4</v>
      </c>
      <c r="G47" s="21">
        <v>3</v>
      </c>
      <c r="H47" s="7">
        <v>54652</v>
      </c>
      <c r="I47" s="7">
        <f>F47*G47*H47</f>
        <v>655824</v>
      </c>
      <c r="J47" s="9">
        <v>0</v>
      </c>
      <c r="K47" s="7">
        <f>I47+J47</f>
        <v>655824</v>
      </c>
      <c r="L47">
        <v>1</v>
      </c>
      <c r="M47" t="s">
        <v>134</v>
      </c>
    </row>
    <row r="48" spans="1:15" ht="22" customHeight="1" x14ac:dyDescent="0.35">
      <c r="A48" s="21" t="s">
        <v>135</v>
      </c>
      <c r="B48" s="29" t="s">
        <v>157</v>
      </c>
      <c r="C48" s="23"/>
      <c r="D48" s="23"/>
      <c r="E48" s="23"/>
      <c r="F48" s="21">
        <v>4</v>
      </c>
      <c r="G48" s="21">
        <v>3</v>
      </c>
      <c r="H48" s="7">
        <v>71138</v>
      </c>
      <c r="I48" s="7">
        <f>F48*G48*H48</f>
        <v>853656</v>
      </c>
      <c r="J48" s="9">
        <v>0</v>
      </c>
      <c r="K48" s="7">
        <f>I48+J48</f>
        <v>853656</v>
      </c>
      <c r="N48">
        <v>2</v>
      </c>
      <c r="O48" t="s">
        <v>134</v>
      </c>
    </row>
    <row r="49" spans="1:15" ht="22" customHeight="1" x14ac:dyDescent="0.35">
      <c r="A49" s="21" t="s">
        <v>137</v>
      </c>
      <c r="B49" s="29" t="s">
        <v>217</v>
      </c>
      <c r="C49" s="23"/>
      <c r="D49" s="23"/>
      <c r="E49" s="23"/>
      <c r="F49" s="21">
        <v>4</v>
      </c>
      <c r="G49" s="21">
        <v>3</v>
      </c>
      <c r="H49" s="7">
        <v>74287</v>
      </c>
      <c r="I49" s="7">
        <f>F49*G49*H49</f>
        <v>891444</v>
      </c>
      <c r="J49" s="9">
        <v>0</v>
      </c>
      <c r="K49" s="7">
        <f>I49+J49</f>
        <v>891444</v>
      </c>
      <c r="L49">
        <v>3</v>
      </c>
      <c r="M49" t="s">
        <v>134</v>
      </c>
    </row>
    <row r="50" spans="1:15" ht="22" customHeight="1" x14ac:dyDescent="0.35">
      <c r="A50" s="21" t="s">
        <v>139</v>
      </c>
      <c r="B50" s="29" t="s">
        <v>218</v>
      </c>
      <c r="C50" s="23"/>
      <c r="D50" s="23"/>
      <c r="E50" s="23"/>
      <c r="F50" s="21">
        <v>4</v>
      </c>
      <c r="G50" s="21">
        <v>3</v>
      </c>
      <c r="H50" s="7">
        <v>74287</v>
      </c>
      <c r="I50" s="7">
        <f>F50*G50*H50</f>
        <v>891444</v>
      </c>
      <c r="J50" s="9">
        <v>0</v>
      </c>
      <c r="K50" s="7">
        <f>I50+J50</f>
        <v>891444</v>
      </c>
      <c r="N50">
        <v>4</v>
      </c>
      <c r="O50" t="s">
        <v>134</v>
      </c>
    </row>
    <row r="52" spans="1:15" x14ac:dyDescent="0.35">
      <c r="A52" t="s">
        <v>141</v>
      </c>
      <c r="C52" t="s">
        <v>120</v>
      </c>
      <c r="D52" s="40">
        <f>SUM(K47:K50)</f>
        <v>3292368</v>
      </c>
      <c r="E52" s="28"/>
    </row>
    <row r="53" spans="1:15" ht="30" customHeight="1" x14ac:dyDescent="0.35">
      <c r="A53" s="22" t="s">
        <v>142</v>
      </c>
      <c r="C53" s="22" t="s">
        <v>120</v>
      </c>
      <c r="D53" s="31" t="s">
        <v>238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x14ac:dyDescent="0.35">
      <c r="A54" t="s">
        <v>144</v>
      </c>
      <c r="C54" t="s">
        <v>120</v>
      </c>
      <c r="D54" t="s">
        <v>239</v>
      </c>
    </row>
    <row r="55" spans="1:15" x14ac:dyDescent="0.35">
      <c r="D55" t="s">
        <v>146</v>
      </c>
    </row>
    <row r="57" spans="1:15" x14ac:dyDescent="0.35">
      <c r="A57" s="2" t="s">
        <v>147</v>
      </c>
      <c r="D57" s="27" t="s">
        <v>131</v>
      </c>
      <c r="E57" s="28"/>
      <c r="F57" s="2" t="s">
        <v>148</v>
      </c>
      <c r="M57" s="2" t="s">
        <v>149</v>
      </c>
      <c r="O57" s="2" t="s">
        <v>78</v>
      </c>
    </row>
    <row r="59" spans="1:15" x14ac:dyDescent="0.35">
      <c r="A59" t="s">
        <v>150</v>
      </c>
      <c r="M59" t="s">
        <v>241</v>
      </c>
      <c r="O59" s="10">
        <f>D52</f>
        <v>3292368</v>
      </c>
    </row>
    <row r="62" spans="1:15" x14ac:dyDescent="0.35">
      <c r="A62" t="s">
        <v>152</v>
      </c>
    </row>
    <row r="65" spans="1:15" x14ac:dyDescent="0.35">
      <c r="A65" t="s">
        <v>153</v>
      </c>
    </row>
    <row r="68" spans="1:15" x14ac:dyDescent="0.35">
      <c r="A68" t="s">
        <v>154</v>
      </c>
    </row>
    <row r="71" spans="1:15" ht="15.5" x14ac:dyDescent="0.35">
      <c r="B71" s="1" t="s">
        <v>114</v>
      </c>
    </row>
    <row r="72" spans="1:15" ht="15.5" x14ac:dyDescent="0.35">
      <c r="B72" s="1" t="s">
        <v>115</v>
      </c>
    </row>
    <row r="73" spans="1:15" x14ac:dyDescent="0.35">
      <c r="B73" s="18" t="s">
        <v>116</v>
      </c>
    </row>
    <row r="74" spans="1:15" x14ac:dyDescent="0.35">
      <c r="A74" s="19"/>
      <c r="B74" s="20" t="s">
        <v>117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6" spans="1:15" x14ac:dyDescent="0.35">
      <c r="A76" s="37" t="s">
        <v>118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x14ac:dyDescent="0.35">
      <c r="L77" t="s">
        <v>119</v>
      </c>
      <c r="N77" t="s">
        <v>120</v>
      </c>
      <c r="O77" t="s">
        <v>121</v>
      </c>
    </row>
    <row r="78" spans="1:15" x14ac:dyDescent="0.35">
      <c r="A78" t="s">
        <v>122</v>
      </c>
      <c r="D78" s="2" t="s">
        <v>242</v>
      </c>
    </row>
    <row r="80" spans="1:15" x14ac:dyDescent="0.35">
      <c r="A80" s="3" t="s">
        <v>124</v>
      </c>
      <c r="B80" s="26" t="s">
        <v>125</v>
      </c>
      <c r="C80" s="23"/>
      <c r="D80" s="23"/>
      <c r="E80" s="23"/>
      <c r="F80" s="3" t="s">
        <v>78</v>
      </c>
      <c r="G80" s="3" t="s">
        <v>126</v>
      </c>
      <c r="H80" s="3" t="s">
        <v>127</v>
      </c>
      <c r="I80" s="3" t="s">
        <v>128</v>
      </c>
      <c r="J80" s="3" t="s">
        <v>129</v>
      </c>
      <c r="K80" s="3" t="s">
        <v>130</v>
      </c>
      <c r="L80" s="26" t="s">
        <v>131</v>
      </c>
      <c r="M80" s="23"/>
      <c r="N80" s="23"/>
      <c r="O80" s="23"/>
    </row>
    <row r="81" spans="1:15" ht="22" customHeight="1" x14ac:dyDescent="0.35">
      <c r="A81" s="21" t="s">
        <v>132</v>
      </c>
      <c r="B81" s="29" t="s">
        <v>156</v>
      </c>
      <c r="C81" s="23"/>
      <c r="D81" s="23"/>
      <c r="E81" s="23"/>
      <c r="F81" s="21">
        <v>4</v>
      </c>
      <c r="G81" s="21">
        <v>3</v>
      </c>
      <c r="H81" s="7">
        <v>74287</v>
      </c>
      <c r="I81" s="7">
        <f>F81*G81*H81</f>
        <v>891444</v>
      </c>
      <c r="J81" s="9">
        <v>0</v>
      </c>
      <c r="K81" s="7">
        <f>I81+J81</f>
        <v>891444</v>
      </c>
      <c r="L81">
        <v>1</v>
      </c>
      <c r="M81" t="s">
        <v>134</v>
      </c>
    </row>
    <row r="82" spans="1:15" ht="22" customHeight="1" x14ac:dyDescent="0.35">
      <c r="A82" s="21" t="s">
        <v>135</v>
      </c>
      <c r="B82" s="29" t="s">
        <v>113</v>
      </c>
      <c r="C82" s="23"/>
      <c r="D82" s="23"/>
      <c r="E82" s="23"/>
      <c r="F82" s="21">
        <v>4</v>
      </c>
      <c r="G82" s="21">
        <v>3</v>
      </c>
      <c r="H82" s="7">
        <v>81375</v>
      </c>
      <c r="I82" s="7">
        <f>F82*G82*H82</f>
        <v>976500</v>
      </c>
      <c r="J82" s="9">
        <v>0</v>
      </c>
      <c r="K82" s="7">
        <f>I82+J82</f>
        <v>976500</v>
      </c>
      <c r="N82">
        <v>2</v>
      </c>
      <c r="O82" t="s">
        <v>134</v>
      </c>
    </row>
    <row r="83" spans="1:15" ht="22" customHeight="1" x14ac:dyDescent="0.35">
      <c r="A83" s="21" t="s">
        <v>137</v>
      </c>
      <c r="B83" s="29" t="s">
        <v>220</v>
      </c>
      <c r="C83" s="23"/>
      <c r="D83" s="23"/>
      <c r="E83" s="23"/>
      <c r="F83" s="21">
        <v>4</v>
      </c>
      <c r="G83" s="21">
        <v>3</v>
      </c>
      <c r="H83" s="7">
        <v>66465</v>
      </c>
      <c r="I83" s="7">
        <f>F83*G83*H83</f>
        <v>797580</v>
      </c>
      <c r="J83" s="9">
        <v>0</v>
      </c>
      <c r="K83" s="7">
        <f>I83+J83</f>
        <v>797580</v>
      </c>
      <c r="L83">
        <v>3</v>
      </c>
      <c r="M83" t="s">
        <v>134</v>
      </c>
    </row>
    <row r="84" spans="1:15" ht="22" customHeight="1" x14ac:dyDescent="0.35">
      <c r="A84" s="21" t="s">
        <v>139</v>
      </c>
      <c r="B84" s="29" t="s">
        <v>138</v>
      </c>
      <c r="C84" s="23"/>
      <c r="D84" s="23"/>
      <c r="E84" s="23"/>
      <c r="F84" s="21">
        <v>4</v>
      </c>
      <c r="G84" s="21">
        <v>3</v>
      </c>
      <c r="H84" s="7">
        <v>45000</v>
      </c>
      <c r="I84" s="7">
        <f>F84*G84*H84</f>
        <v>540000</v>
      </c>
      <c r="J84" s="9">
        <v>0</v>
      </c>
      <c r="K84" s="7">
        <f>I84+J84</f>
        <v>540000</v>
      </c>
      <c r="N84">
        <v>4</v>
      </c>
      <c r="O84" t="s">
        <v>134</v>
      </c>
    </row>
    <row r="85" spans="1:15" ht="22" customHeight="1" x14ac:dyDescent="0.35">
      <c r="A85" s="21" t="s">
        <v>202</v>
      </c>
      <c r="B85" s="29" t="s">
        <v>158</v>
      </c>
      <c r="C85" s="23"/>
      <c r="D85" s="23"/>
      <c r="E85" s="23"/>
      <c r="F85" s="21">
        <v>4</v>
      </c>
      <c r="G85" s="21">
        <v>3</v>
      </c>
      <c r="H85" s="7">
        <v>45000</v>
      </c>
      <c r="I85" s="7">
        <f>F85*G85*H85</f>
        <v>540000</v>
      </c>
      <c r="J85" s="9">
        <v>0</v>
      </c>
      <c r="K85" s="7">
        <f>I85+J85</f>
        <v>540000</v>
      </c>
      <c r="L85">
        <v>5</v>
      </c>
      <c r="M85" t="s">
        <v>134</v>
      </c>
    </row>
    <row r="87" spans="1:15" x14ac:dyDescent="0.35">
      <c r="A87" t="s">
        <v>141</v>
      </c>
      <c r="C87" t="s">
        <v>120</v>
      </c>
      <c r="D87" s="40">
        <f>SUM(K81:K85)</f>
        <v>3745524</v>
      </c>
      <c r="E87" s="28"/>
    </row>
    <row r="88" spans="1:15" ht="30" customHeight="1" x14ac:dyDescent="0.35">
      <c r="A88" s="22" t="s">
        <v>142</v>
      </c>
      <c r="C88" s="22" t="s">
        <v>120</v>
      </c>
      <c r="D88" s="31" t="s">
        <v>243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x14ac:dyDescent="0.35">
      <c r="A89" t="s">
        <v>144</v>
      </c>
      <c r="C89" t="s">
        <v>120</v>
      </c>
      <c r="D89" t="s">
        <v>239</v>
      </c>
    </row>
    <row r="90" spans="1:15" x14ac:dyDescent="0.35">
      <c r="D90" t="s">
        <v>146</v>
      </c>
    </row>
    <row r="92" spans="1:15" x14ac:dyDescent="0.35">
      <c r="A92" s="2" t="s">
        <v>147</v>
      </c>
      <c r="D92" s="27" t="s">
        <v>131</v>
      </c>
      <c r="E92" s="28"/>
      <c r="F92" s="2" t="s">
        <v>148</v>
      </c>
      <c r="M92" s="2" t="s">
        <v>149</v>
      </c>
      <c r="O92" s="2" t="s">
        <v>78</v>
      </c>
    </row>
    <row r="94" spans="1:15" x14ac:dyDescent="0.35">
      <c r="A94" t="s">
        <v>150</v>
      </c>
      <c r="M94" t="s">
        <v>241</v>
      </c>
      <c r="O94" s="10">
        <f>D87</f>
        <v>3745524</v>
      </c>
    </row>
    <row r="97" spans="1:15" x14ac:dyDescent="0.35">
      <c r="A97" t="s">
        <v>152</v>
      </c>
    </row>
    <row r="100" spans="1:15" x14ac:dyDescent="0.35">
      <c r="A100" t="s">
        <v>153</v>
      </c>
    </row>
    <row r="103" spans="1:15" x14ac:dyDescent="0.35">
      <c r="A103" t="s">
        <v>154</v>
      </c>
    </row>
    <row r="106" spans="1:15" ht="15.5" x14ac:dyDescent="0.35">
      <c r="B106" s="1" t="s">
        <v>114</v>
      </c>
    </row>
    <row r="107" spans="1:15" ht="15.5" x14ac:dyDescent="0.35">
      <c r="B107" s="1" t="s">
        <v>115</v>
      </c>
    </row>
    <row r="108" spans="1:15" x14ac:dyDescent="0.35">
      <c r="B108" s="18" t="s">
        <v>116</v>
      </c>
    </row>
    <row r="109" spans="1:15" x14ac:dyDescent="0.35">
      <c r="A109" s="19"/>
      <c r="B109" s="20" t="s">
        <v>117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</row>
    <row r="111" spans="1:15" x14ac:dyDescent="0.35">
      <c r="A111" s="37" t="s">
        <v>118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x14ac:dyDescent="0.35">
      <c r="L112" t="s">
        <v>119</v>
      </c>
      <c r="N112" t="s">
        <v>120</v>
      </c>
      <c r="O112" t="s">
        <v>121</v>
      </c>
    </row>
    <row r="113" spans="1:15" x14ac:dyDescent="0.35">
      <c r="A113" t="s">
        <v>122</v>
      </c>
      <c r="D113" s="2" t="s">
        <v>244</v>
      </c>
    </row>
    <row r="115" spans="1:15" x14ac:dyDescent="0.35">
      <c r="A115" s="3" t="s">
        <v>124</v>
      </c>
      <c r="B115" s="26" t="s">
        <v>125</v>
      </c>
      <c r="C115" s="23"/>
      <c r="D115" s="23"/>
      <c r="E115" s="23"/>
      <c r="F115" s="3" t="s">
        <v>78</v>
      </c>
      <c r="G115" s="3" t="s">
        <v>126</v>
      </c>
      <c r="H115" s="3" t="s">
        <v>127</v>
      </c>
      <c r="I115" s="3" t="s">
        <v>128</v>
      </c>
      <c r="J115" s="3" t="s">
        <v>129</v>
      </c>
      <c r="K115" s="3" t="s">
        <v>130</v>
      </c>
      <c r="L115" s="26" t="s">
        <v>131</v>
      </c>
      <c r="M115" s="23"/>
      <c r="N115" s="23"/>
      <c r="O115" s="23"/>
    </row>
    <row r="116" spans="1:15" ht="22" customHeight="1" x14ac:dyDescent="0.35">
      <c r="A116" s="21" t="s">
        <v>132</v>
      </c>
      <c r="B116" s="29" t="s">
        <v>176</v>
      </c>
      <c r="C116" s="23"/>
      <c r="D116" s="23"/>
      <c r="E116" s="23"/>
      <c r="F116" s="21">
        <v>4</v>
      </c>
      <c r="G116" s="21">
        <v>3</v>
      </c>
      <c r="H116" s="7">
        <v>71138</v>
      </c>
      <c r="I116" s="7">
        <f>F116*G116*H116</f>
        <v>853656</v>
      </c>
      <c r="J116" s="9">
        <v>0</v>
      </c>
      <c r="K116" s="7">
        <f>I116+J116</f>
        <v>853656</v>
      </c>
      <c r="L116">
        <v>1</v>
      </c>
      <c r="M116" t="s">
        <v>134</v>
      </c>
    </row>
    <row r="117" spans="1:15" ht="22" customHeight="1" x14ac:dyDescent="0.35">
      <c r="A117" s="21" t="s">
        <v>135</v>
      </c>
      <c r="B117" s="29" t="s">
        <v>177</v>
      </c>
      <c r="C117" s="23"/>
      <c r="D117" s="23"/>
      <c r="E117" s="23"/>
      <c r="F117" s="21">
        <v>4</v>
      </c>
      <c r="G117" s="21">
        <v>3</v>
      </c>
      <c r="H117" s="7">
        <v>63787</v>
      </c>
      <c r="I117" s="7">
        <f>F117*G117*H117</f>
        <v>765444</v>
      </c>
      <c r="J117" s="9">
        <v>0</v>
      </c>
      <c r="K117" s="7">
        <f>I117+J117</f>
        <v>765444</v>
      </c>
      <c r="N117">
        <v>2</v>
      </c>
      <c r="O117" t="s">
        <v>134</v>
      </c>
    </row>
    <row r="118" spans="1:15" ht="22" customHeight="1" x14ac:dyDescent="0.35">
      <c r="A118" s="21" t="s">
        <v>137</v>
      </c>
      <c r="B118" s="29" t="s">
        <v>175</v>
      </c>
      <c r="C118" s="23"/>
      <c r="D118" s="23"/>
      <c r="E118" s="23"/>
      <c r="F118" s="21">
        <v>4</v>
      </c>
      <c r="G118" s="21">
        <v>3</v>
      </c>
      <c r="H118" s="7">
        <v>54652</v>
      </c>
      <c r="I118" s="7">
        <f>F118*G118*H118</f>
        <v>655824</v>
      </c>
      <c r="J118" s="9">
        <v>0</v>
      </c>
      <c r="K118" s="7">
        <f>I118+J118</f>
        <v>655824</v>
      </c>
      <c r="L118">
        <v>3</v>
      </c>
      <c r="M118" t="s">
        <v>134</v>
      </c>
    </row>
    <row r="119" spans="1:15" ht="22" customHeight="1" x14ac:dyDescent="0.35">
      <c r="A119" s="21" t="s">
        <v>139</v>
      </c>
      <c r="B119" s="29" t="s">
        <v>178</v>
      </c>
      <c r="C119" s="23"/>
      <c r="D119" s="23"/>
      <c r="E119" s="23"/>
      <c r="F119" s="21">
        <v>4</v>
      </c>
      <c r="G119" s="21">
        <v>3</v>
      </c>
      <c r="H119" s="7">
        <v>67305</v>
      </c>
      <c r="I119" s="7">
        <f>F119*G119*H119</f>
        <v>807660</v>
      </c>
      <c r="J119" s="9">
        <v>0</v>
      </c>
      <c r="K119" s="7">
        <f>I119+J119</f>
        <v>807660</v>
      </c>
      <c r="N119">
        <v>4</v>
      </c>
      <c r="O119" t="s">
        <v>134</v>
      </c>
    </row>
    <row r="120" spans="1:15" ht="22" customHeight="1" x14ac:dyDescent="0.35">
      <c r="A120" s="21" t="s">
        <v>202</v>
      </c>
      <c r="B120" s="29" t="s">
        <v>207</v>
      </c>
      <c r="C120" s="23"/>
      <c r="D120" s="23"/>
      <c r="E120" s="23"/>
      <c r="F120" s="21">
        <v>4</v>
      </c>
      <c r="G120" s="21">
        <v>3</v>
      </c>
      <c r="H120" s="7">
        <v>45000</v>
      </c>
      <c r="I120" s="7">
        <f>F120*G120*H120</f>
        <v>540000</v>
      </c>
      <c r="J120" s="9">
        <v>0</v>
      </c>
      <c r="K120" s="7">
        <f>I120+J120</f>
        <v>540000</v>
      </c>
      <c r="L120">
        <v>5</v>
      </c>
      <c r="M120" t="s">
        <v>134</v>
      </c>
    </row>
    <row r="122" spans="1:15" x14ac:dyDescent="0.35">
      <c r="A122" t="s">
        <v>141</v>
      </c>
      <c r="C122" t="s">
        <v>120</v>
      </c>
      <c r="D122" s="40">
        <f>SUM(K116:K120)</f>
        <v>3622584</v>
      </c>
      <c r="E122" s="28"/>
    </row>
    <row r="123" spans="1:15" ht="30" customHeight="1" x14ac:dyDescent="0.35">
      <c r="A123" s="22" t="s">
        <v>142</v>
      </c>
      <c r="C123" s="22" t="s">
        <v>120</v>
      </c>
      <c r="D123" s="31" t="s">
        <v>245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x14ac:dyDescent="0.35">
      <c r="A124" t="s">
        <v>144</v>
      </c>
      <c r="C124" t="s">
        <v>120</v>
      </c>
      <c r="D124" t="s">
        <v>239</v>
      </c>
    </row>
    <row r="125" spans="1:15" x14ac:dyDescent="0.35">
      <c r="D125" t="s">
        <v>146</v>
      </c>
    </row>
    <row r="127" spans="1:15" x14ac:dyDescent="0.35">
      <c r="A127" s="2" t="s">
        <v>147</v>
      </c>
      <c r="D127" s="27" t="s">
        <v>131</v>
      </c>
      <c r="E127" s="28"/>
      <c r="F127" s="2" t="s">
        <v>148</v>
      </c>
      <c r="M127" s="2" t="s">
        <v>149</v>
      </c>
      <c r="O127" s="2" t="s">
        <v>78</v>
      </c>
    </row>
    <row r="129" spans="1:15" x14ac:dyDescent="0.35">
      <c r="A129" t="s">
        <v>150</v>
      </c>
      <c r="M129" t="s">
        <v>241</v>
      </c>
      <c r="O129" s="10">
        <f>D122</f>
        <v>3622584</v>
      </c>
    </row>
    <row r="132" spans="1:15" x14ac:dyDescent="0.35">
      <c r="A132" t="s">
        <v>152</v>
      </c>
    </row>
    <row r="135" spans="1:15" x14ac:dyDescent="0.35">
      <c r="A135" t="s">
        <v>153</v>
      </c>
    </row>
    <row r="138" spans="1:15" x14ac:dyDescent="0.35">
      <c r="A138" t="s">
        <v>154</v>
      </c>
    </row>
    <row r="141" spans="1:15" ht="15.5" x14ac:dyDescent="0.35">
      <c r="B141" s="1" t="s">
        <v>114</v>
      </c>
    </row>
    <row r="142" spans="1:15" ht="15.5" x14ac:dyDescent="0.35">
      <c r="B142" s="1" t="s">
        <v>115</v>
      </c>
    </row>
    <row r="143" spans="1:15" x14ac:dyDescent="0.35">
      <c r="B143" s="18" t="s">
        <v>116</v>
      </c>
    </row>
    <row r="144" spans="1:15" x14ac:dyDescent="0.35">
      <c r="A144" s="19"/>
      <c r="B144" s="20" t="s">
        <v>117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6" spans="1:15" x14ac:dyDescent="0.35">
      <c r="A146" s="37" t="s">
        <v>118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x14ac:dyDescent="0.35">
      <c r="L147" t="s">
        <v>119</v>
      </c>
      <c r="N147" t="s">
        <v>120</v>
      </c>
      <c r="O147" t="s">
        <v>121</v>
      </c>
    </row>
    <row r="148" spans="1:15" x14ac:dyDescent="0.35">
      <c r="A148" t="s">
        <v>122</v>
      </c>
      <c r="D148" s="2" t="s">
        <v>246</v>
      </c>
    </row>
    <row r="150" spans="1:15" x14ac:dyDescent="0.35">
      <c r="A150" s="3" t="s">
        <v>124</v>
      </c>
      <c r="B150" s="26" t="s">
        <v>125</v>
      </c>
      <c r="C150" s="23"/>
      <c r="D150" s="23"/>
      <c r="E150" s="23"/>
      <c r="F150" s="3" t="s">
        <v>78</v>
      </c>
      <c r="G150" s="3" t="s">
        <v>126</v>
      </c>
      <c r="H150" s="3" t="s">
        <v>127</v>
      </c>
      <c r="I150" s="3" t="s">
        <v>128</v>
      </c>
      <c r="J150" s="3" t="s">
        <v>129</v>
      </c>
      <c r="K150" s="3" t="s">
        <v>130</v>
      </c>
      <c r="L150" s="26" t="s">
        <v>131</v>
      </c>
      <c r="M150" s="23"/>
      <c r="N150" s="23"/>
      <c r="O150" s="23"/>
    </row>
    <row r="151" spans="1:15" ht="22" customHeight="1" x14ac:dyDescent="0.35">
      <c r="A151" s="21" t="s">
        <v>132</v>
      </c>
      <c r="B151" s="29" t="s">
        <v>196</v>
      </c>
      <c r="C151" s="23"/>
      <c r="D151" s="23"/>
      <c r="E151" s="23"/>
      <c r="F151" s="21">
        <v>4</v>
      </c>
      <c r="G151" s="21">
        <v>3</v>
      </c>
      <c r="H151" s="7">
        <v>71138</v>
      </c>
      <c r="I151" s="7">
        <f>F151*G151*H151</f>
        <v>853656</v>
      </c>
      <c r="J151" s="9">
        <v>0</v>
      </c>
      <c r="K151" s="7">
        <f>I151+J151</f>
        <v>853656</v>
      </c>
      <c r="L151">
        <v>1</v>
      </c>
      <c r="M151" t="s">
        <v>134</v>
      </c>
    </row>
    <row r="152" spans="1:15" ht="22" customHeight="1" x14ac:dyDescent="0.35">
      <c r="A152" s="21" t="s">
        <v>135</v>
      </c>
      <c r="B152" s="29" t="s">
        <v>225</v>
      </c>
      <c r="C152" s="23"/>
      <c r="D152" s="23"/>
      <c r="E152" s="23"/>
      <c r="F152" s="21">
        <v>4</v>
      </c>
      <c r="G152" s="21">
        <v>3</v>
      </c>
      <c r="H152" s="7">
        <v>82688</v>
      </c>
      <c r="I152" s="7">
        <f>F152*G152*H152</f>
        <v>992256</v>
      </c>
      <c r="J152" s="9">
        <v>0</v>
      </c>
      <c r="K152" s="7">
        <f>I152+J152</f>
        <v>992256</v>
      </c>
      <c r="N152">
        <v>2</v>
      </c>
      <c r="O152" t="s">
        <v>134</v>
      </c>
    </row>
    <row r="153" spans="1:15" ht="22" customHeight="1" x14ac:dyDescent="0.35">
      <c r="A153" s="21" t="s">
        <v>137</v>
      </c>
      <c r="B153" s="29" t="s">
        <v>195</v>
      </c>
      <c r="C153" s="23"/>
      <c r="D153" s="23"/>
      <c r="E153" s="23"/>
      <c r="F153" s="21">
        <v>4</v>
      </c>
      <c r="G153" s="21">
        <v>3</v>
      </c>
      <c r="H153" s="7">
        <v>69825</v>
      </c>
      <c r="I153" s="7">
        <f>F153*G153*H153</f>
        <v>837900</v>
      </c>
      <c r="J153" s="9">
        <v>0</v>
      </c>
      <c r="K153" s="7">
        <f>I153+J153</f>
        <v>837900</v>
      </c>
      <c r="L153">
        <v>3</v>
      </c>
      <c r="M153" t="s">
        <v>134</v>
      </c>
    </row>
    <row r="154" spans="1:15" ht="22" customHeight="1" x14ac:dyDescent="0.35">
      <c r="A154" s="21" t="s">
        <v>139</v>
      </c>
      <c r="B154" s="29" t="s">
        <v>170</v>
      </c>
      <c r="C154" s="23"/>
      <c r="D154" s="23"/>
      <c r="E154" s="23"/>
      <c r="F154" s="21">
        <v>4</v>
      </c>
      <c r="G154" s="21">
        <v>3</v>
      </c>
      <c r="H154" s="7">
        <v>59115</v>
      </c>
      <c r="I154" s="7">
        <f>F154*G154*H154</f>
        <v>709380</v>
      </c>
      <c r="J154" s="9">
        <v>0</v>
      </c>
      <c r="K154" s="7">
        <f>I154+J154</f>
        <v>709380</v>
      </c>
      <c r="N154">
        <v>4</v>
      </c>
      <c r="O154" t="s">
        <v>134</v>
      </c>
    </row>
    <row r="155" spans="1:15" ht="22" customHeight="1" x14ac:dyDescent="0.35">
      <c r="A155" s="21" t="s">
        <v>202</v>
      </c>
      <c r="B155" s="29" t="s">
        <v>198</v>
      </c>
      <c r="C155" s="23"/>
      <c r="D155" s="23"/>
      <c r="E155" s="23"/>
      <c r="F155" s="21">
        <v>4</v>
      </c>
      <c r="G155" s="21">
        <v>3</v>
      </c>
      <c r="H155" s="7">
        <v>50662</v>
      </c>
      <c r="I155" s="7">
        <f>F155*G155*H155</f>
        <v>607944</v>
      </c>
      <c r="J155" s="9">
        <v>0</v>
      </c>
      <c r="K155" s="7">
        <f>I155+J155</f>
        <v>607944</v>
      </c>
      <c r="L155">
        <v>5</v>
      </c>
      <c r="M155" t="s">
        <v>134</v>
      </c>
    </row>
    <row r="157" spans="1:15" x14ac:dyDescent="0.35">
      <c r="A157" t="s">
        <v>141</v>
      </c>
      <c r="C157" t="s">
        <v>120</v>
      </c>
      <c r="D157" s="40">
        <f>SUM(K151:K155)</f>
        <v>4001136</v>
      </c>
      <c r="E157" s="28"/>
    </row>
    <row r="158" spans="1:15" ht="30" customHeight="1" x14ac:dyDescent="0.35">
      <c r="A158" s="22" t="s">
        <v>142</v>
      </c>
      <c r="C158" s="22" t="s">
        <v>120</v>
      </c>
      <c r="D158" s="31" t="s">
        <v>247</v>
      </c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x14ac:dyDescent="0.35">
      <c r="A159" t="s">
        <v>144</v>
      </c>
      <c r="C159" t="s">
        <v>120</v>
      </c>
      <c r="D159" t="s">
        <v>239</v>
      </c>
    </row>
    <row r="160" spans="1:15" x14ac:dyDescent="0.35">
      <c r="D160" t="s">
        <v>146</v>
      </c>
    </row>
    <row r="162" spans="1:15" x14ac:dyDescent="0.35">
      <c r="A162" s="2" t="s">
        <v>147</v>
      </c>
      <c r="D162" s="27" t="s">
        <v>131</v>
      </c>
      <c r="E162" s="28"/>
      <c r="F162" s="2" t="s">
        <v>148</v>
      </c>
      <c r="M162" s="2" t="s">
        <v>149</v>
      </c>
      <c r="O162" s="2" t="s">
        <v>78</v>
      </c>
    </row>
    <row r="164" spans="1:15" x14ac:dyDescent="0.35">
      <c r="A164" t="s">
        <v>150</v>
      </c>
      <c r="M164" t="s">
        <v>241</v>
      </c>
      <c r="O164" s="10">
        <f>D157</f>
        <v>4001136</v>
      </c>
    </row>
    <row r="167" spans="1:15" x14ac:dyDescent="0.35">
      <c r="A167" t="s">
        <v>152</v>
      </c>
    </row>
    <row r="170" spans="1:15" x14ac:dyDescent="0.35">
      <c r="A170" t="s">
        <v>153</v>
      </c>
    </row>
    <row r="173" spans="1:15" x14ac:dyDescent="0.35">
      <c r="A173" t="s">
        <v>154</v>
      </c>
    </row>
    <row r="176" spans="1:15" ht="15.5" x14ac:dyDescent="0.35">
      <c r="B176" s="1" t="s">
        <v>114</v>
      </c>
    </row>
    <row r="177" spans="1:15" ht="15.5" x14ac:dyDescent="0.35">
      <c r="B177" s="1" t="s">
        <v>115</v>
      </c>
    </row>
    <row r="178" spans="1:15" x14ac:dyDescent="0.35">
      <c r="B178" s="18" t="s">
        <v>116</v>
      </c>
    </row>
    <row r="179" spans="1:15" x14ac:dyDescent="0.35">
      <c r="A179" s="19"/>
      <c r="B179" s="20" t="s">
        <v>117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</row>
    <row r="181" spans="1:15" x14ac:dyDescent="0.35">
      <c r="A181" s="37" t="s">
        <v>118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x14ac:dyDescent="0.35">
      <c r="L182" t="s">
        <v>119</v>
      </c>
      <c r="N182" t="s">
        <v>120</v>
      </c>
      <c r="O182" t="s">
        <v>121</v>
      </c>
    </row>
    <row r="183" spans="1:15" x14ac:dyDescent="0.35">
      <c r="A183" t="s">
        <v>122</v>
      </c>
      <c r="D183" s="2" t="s">
        <v>248</v>
      </c>
    </row>
    <row r="185" spans="1:15" x14ac:dyDescent="0.35">
      <c r="A185" s="3" t="s">
        <v>124</v>
      </c>
      <c r="B185" s="26" t="s">
        <v>125</v>
      </c>
      <c r="C185" s="23"/>
      <c r="D185" s="23"/>
      <c r="E185" s="23"/>
      <c r="F185" s="3" t="s">
        <v>78</v>
      </c>
      <c r="G185" s="3" t="s">
        <v>126</v>
      </c>
      <c r="H185" s="3" t="s">
        <v>127</v>
      </c>
      <c r="I185" s="3" t="s">
        <v>128</v>
      </c>
      <c r="J185" s="3" t="s">
        <v>129</v>
      </c>
      <c r="K185" s="3" t="s">
        <v>130</v>
      </c>
      <c r="L185" s="26" t="s">
        <v>131</v>
      </c>
      <c r="M185" s="23"/>
      <c r="N185" s="23"/>
      <c r="O185" s="23"/>
    </row>
    <row r="186" spans="1:15" ht="22" customHeight="1" x14ac:dyDescent="0.35">
      <c r="A186" s="21" t="s">
        <v>132</v>
      </c>
      <c r="B186" s="29" t="s">
        <v>206</v>
      </c>
      <c r="C186" s="23"/>
      <c r="D186" s="23"/>
      <c r="E186" s="23"/>
      <c r="F186" s="21">
        <v>4</v>
      </c>
      <c r="G186" s="21">
        <v>3</v>
      </c>
      <c r="H186" s="7">
        <v>74287</v>
      </c>
      <c r="I186" s="7">
        <f>F186*G186*H186</f>
        <v>891444</v>
      </c>
      <c r="J186" s="9">
        <v>0</v>
      </c>
      <c r="K186" s="7">
        <f>I186+J186</f>
        <v>891444</v>
      </c>
      <c r="L186">
        <v>1</v>
      </c>
      <c r="M186" t="s">
        <v>134</v>
      </c>
    </row>
    <row r="187" spans="1:15" ht="22" customHeight="1" x14ac:dyDescent="0.35">
      <c r="A187" s="21" t="s">
        <v>135</v>
      </c>
      <c r="B187" s="29" t="s">
        <v>75</v>
      </c>
      <c r="C187" s="23"/>
      <c r="D187" s="23"/>
      <c r="E187" s="23"/>
      <c r="F187" s="21">
        <v>4</v>
      </c>
      <c r="G187" s="21">
        <v>3</v>
      </c>
      <c r="H187" s="7">
        <v>64418</v>
      </c>
      <c r="I187" s="7">
        <f>F187*G187*H187</f>
        <v>773016</v>
      </c>
      <c r="J187" s="9">
        <v>0</v>
      </c>
      <c r="K187" s="7">
        <f>I187+J187</f>
        <v>773016</v>
      </c>
      <c r="N187">
        <v>2</v>
      </c>
      <c r="O187" t="s">
        <v>134</v>
      </c>
    </row>
    <row r="188" spans="1:15" ht="22" customHeight="1" x14ac:dyDescent="0.35">
      <c r="A188" s="21" t="s">
        <v>137</v>
      </c>
      <c r="B188" s="29" t="s">
        <v>169</v>
      </c>
      <c r="C188" s="23"/>
      <c r="D188" s="23"/>
      <c r="E188" s="23"/>
      <c r="F188" s="21">
        <v>4</v>
      </c>
      <c r="G188" s="21">
        <v>3</v>
      </c>
      <c r="H188" s="7">
        <v>56963</v>
      </c>
      <c r="I188" s="7">
        <f>F188*G188*H188</f>
        <v>683556</v>
      </c>
      <c r="J188" s="9">
        <v>0</v>
      </c>
      <c r="K188" s="7">
        <f>I188+J188</f>
        <v>683556</v>
      </c>
      <c r="L188">
        <v>3</v>
      </c>
      <c r="M188" t="s">
        <v>134</v>
      </c>
    </row>
    <row r="189" spans="1:15" ht="22" customHeight="1" x14ac:dyDescent="0.35">
      <c r="A189" s="21" t="s">
        <v>139</v>
      </c>
      <c r="B189" s="29" t="s">
        <v>172</v>
      </c>
      <c r="C189" s="23"/>
      <c r="D189" s="23"/>
      <c r="E189" s="23"/>
      <c r="F189" s="21">
        <v>4</v>
      </c>
      <c r="G189" s="21">
        <v>3</v>
      </c>
      <c r="H189" s="7">
        <v>53812</v>
      </c>
      <c r="I189" s="7">
        <f>F189*G189*H189</f>
        <v>645744</v>
      </c>
      <c r="J189" s="9">
        <v>0</v>
      </c>
      <c r="K189" s="7">
        <f>I189+J189</f>
        <v>645744</v>
      </c>
      <c r="N189">
        <v>4</v>
      </c>
      <c r="O189" t="s">
        <v>134</v>
      </c>
    </row>
    <row r="191" spans="1:15" x14ac:dyDescent="0.35">
      <c r="A191" t="s">
        <v>141</v>
      </c>
      <c r="C191" t="s">
        <v>120</v>
      </c>
      <c r="D191" s="40">
        <f>SUM(K186:K189)</f>
        <v>2993760</v>
      </c>
      <c r="E191" s="28"/>
    </row>
    <row r="192" spans="1:15" ht="30" customHeight="1" x14ac:dyDescent="0.35">
      <c r="A192" s="22" t="s">
        <v>142</v>
      </c>
      <c r="C192" s="22" t="s">
        <v>120</v>
      </c>
      <c r="D192" s="31" t="s">
        <v>249</v>
      </c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x14ac:dyDescent="0.35">
      <c r="A193" t="s">
        <v>144</v>
      </c>
      <c r="C193" t="s">
        <v>120</v>
      </c>
      <c r="D193" t="s">
        <v>239</v>
      </c>
    </row>
    <row r="194" spans="1:15" x14ac:dyDescent="0.35">
      <c r="D194" t="s">
        <v>146</v>
      </c>
    </row>
    <row r="196" spans="1:15" x14ac:dyDescent="0.35">
      <c r="A196" s="2" t="s">
        <v>147</v>
      </c>
      <c r="D196" s="27" t="s">
        <v>131</v>
      </c>
      <c r="E196" s="28"/>
      <c r="F196" s="2" t="s">
        <v>148</v>
      </c>
      <c r="M196" s="2" t="s">
        <v>149</v>
      </c>
      <c r="O196" s="2" t="s">
        <v>78</v>
      </c>
    </row>
    <row r="198" spans="1:15" x14ac:dyDescent="0.35">
      <c r="A198" t="s">
        <v>150</v>
      </c>
      <c r="M198" t="s">
        <v>241</v>
      </c>
      <c r="O198" s="10">
        <f>D191</f>
        <v>2993760</v>
      </c>
    </row>
    <row r="201" spans="1:15" x14ac:dyDescent="0.35">
      <c r="A201" t="s">
        <v>152</v>
      </c>
    </row>
    <row r="204" spans="1:15" x14ac:dyDescent="0.35">
      <c r="A204" t="s">
        <v>153</v>
      </c>
    </row>
    <row r="207" spans="1:15" x14ac:dyDescent="0.35">
      <c r="A207" t="s">
        <v>154</v>
      </c>
    </row>
    <row r="210" spans="1:15" ht="15.5" x14ac:dyDescent="0.35">
      <c r="B210" s="1" t="s">
        <v>114</v>
      </c>
    </row>
    <row r="211" spans="1:15" ht="15.5" x14ac:dyDescent="0.35">
      <c r="B211" s="1" t="s">
        <v>115</v>
      </c>
    </row>
    <row r="212" spans="1:15" x14ac:dyDescent="0.35">
      <c r="B212" s="18" t="s">
        <v>116</v>
      </c>
    </row>
    <row r="213" spans="1:15" x14ac:dyDescent="0.35">
      <c r="A213" s="19"/>
      <c r="B213" s="20" t="s">
        <v>117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</row>
    <row r="215" spans="1:15" x14ac:dyDescent="0.35">
      <c r="A215" s="37" t="s">
        <v>118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x14ac:dyDescent="0.35">
      <c r="L216" t="s">
        <v>119</v>
      </c>
      <c r="N216" t="s">
        <v>120</v>
      </c>
      <c r="O216" t="s">
        <v>121</v>
      </c>
    </row>
    <row r="217" spans="1:15" x14ac:dyDescent="0.35">
      <c r="A217" t="s">
        <v>122</v>
      </c>
      <c r="D217" s="2" t="s">
        <v>250</v>
      </c>
    </row>
    <row r="219" spans="1:15" x14ac:dyDescent="0.35">
      <c r="A219" s="3" t="s">
        <v>124</v>
      </c>
      <c r="B219" s="26" t="s">
        <v>125</v>
      </c>
      <c r="C219" s="23"/>
      <c r="D219" s="23"/>
      <c r="E219" s="23"/>
      <c r="F219" s="3" t="s">
        <v>78</v>
      </c>
      <c r="G219" s="3" t="s">
        <v>126</v>
      </c>
      <c r="H219" s="3" t="s">
        <v>127</v>
      </c>
      <c r="I219" s="3" t="s">
        <v>128</v>
      </c>
      <c r="J219" s="3" t="s">
        <v>129</v>
      </c>
      <c r="K219" s="3" t="s">
        <v>130</v>
      </c>
      <c r="L219" s="26" t="s">
        <v>131</v>
      </c>
      <c r="M219" s="23"/>
      <c r="N219" s="23"/>
      <c r="O219" s="23"/>
    </row>
    <row r="220" spans="1:15" ht="22" customHeight="1" x14ac:dyDescent="0.35">
      <c r="A220" s="21" t="s">
        <v>132</v>
      </c>
      <c r="B220" s="29" t="s">
        <v>190</v>
      </c>
      <c r="C220" s="23"/>
      <c r="D220" s="23"/>
      <c r="E220" s="23"/>
      <c r="F220" s="21">
        <v>4</v>
      </c>
      <c r="G220" s="21">
        <v>3</v>
      </c>
      <c r="H220" s="7">
        <v>71768</v>
      </c>
      <c r="I220" s="7">
        <f>F220*G220*H220</f>
        <v>861216</v>
      </c>
      <c r="J220" s="9">
        <v>0</v>
      </c>
      <c r="K220" s="7">
        <f>I220+J220</f>
        <v>861216</v>
      </c>
      <c r="L220">
        <v>1</v>
      </c>
      <c r="M220" t="s">
        <v>134</v>
      </c>
    </row>
    <row r="221" spans="1:15" ht="22" customHeight="1" x14ac:dyDescent="0.35">
      <c r="A221" s="21" t="s">
        <v>135</v>
      </c>
      <c r="B221" s="29" t="s">
        <v>159</v>
      </c>
      <c r="C221" s="23"/>
      <c r="D221" s="23"/>
      <c r="E221" s="23"/>
      <c r="F221" s="21">
        <v>4</v>
      </c>
      <c r="G221" s="21">
        <v>3</v>
      </c>
      <c r="H221" s="7">
        <v>60000</v>
      </c>
      <c r="I221" s="7">
        <f>F221*G221*H221</f>
        <v>720000</v>
      </c>
      <c r="J221" s="9">
        <v>0</v>
      </c>
      <c r="K221" s="7">
        <f>I221+J221</f>
        <v>720000</v>
      </c>
      <c r="N221">
        <v>2</v>
      </c>
      <c r="O221" t="s">
        <v>134</v>
      </c>
    </row>
    <row r="222" spans="1:15" ht="22" customHeight="1" x14ac:dyDescent="0.35">
      <c r="A222" s="21" t="s">
        <v>137</v>
      </c>
      <c r="B222" s="29" t="s">
        <v>55</v>
      </c>
      <c r="C222" s="23"/>
      <c r="D222" s="23"/>
      <c r="E222" s="23"/>
      <c r="F222" s="21">
        <v>4</v>
      </c>
      <c r="G222" s="21">
        <v>3</v>
      </c>
      <c r="H222" s="7">
        <v>63787</v>
      </c>
      <c r="I222" s="7">
        <f>F222*G222*H222</f>
        <v>765444</v>
      </c>
      <c r="J222" s="9">
        <v>-173256</v>
      </c>
      <c r="K222" s="7">
        <f>I222+J222</f>
        <v>592188</v>
      </c>
      <c r="L222">
        <v>3</v>
      </c>
      <c r="M222" t="s">
        <v>134</v>
      </c>
    </row>
    <row r="223" spans="1:15" ht="22" customHeight="1" x14ac:dyDescent="0.35">
      <c r="A223" s="21" t="s">
        <v>139</v>
      </c>
      <c r="B223" s="29" t="s">
        <v>219</v>
      </c>
      <c r="C223" s="23"/>
      <c r="D223" s="23"/>
      <c r="E223" s="23"/>
      <c r="F223" s="21">
        <v>4</v>
      </c>
      <c r="G223" s="21">
        <v>3</v>
      </c>
      <c r="H223" s="7">
        <v>67305</v>
      </c>
      <c r="I223" s="7">
        <f>F223*G223*H223</f>
        <v>807660</v>
      </c>
      <c r="J223" s="9">
        <v>0</v>
      </c>
      <c r="K223" s="7">
        <f>I223+J223</f>
        <v>807660</v>
      </c>
      <c r="N223">
        <v>4</v>
      </c>
      <c r="O223" t="s">
        <v>134</v>
      </c>
    </row>
    <row r="224" spans="1:15" ht="24" customHeight="1" x14ac:dyDescent="0.35">
      <c r="A224" s="38" t="s">
        <v>273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x14ac:dyDescent="0.35">
      <c r="A225" t="s">
        <v>141</v>
      </c>
      <c r="C225" t="s">
        <v>120</v>
      </c>
      <c r="D225" s="40">
        <f>SUM(K220:K223)</f>
        <v>2981064</v>
      </c>
      <c r="E225" s="28"/>
    </row>
    <row r="226" spans="1:15" ht="30" customHeight="1" x14ac:dyDescent="0.35">
      <c r="A226" s="22" t="s">
        <v>142</v>
      </c>
      <c r="C226" s="22" t="s">
        <v>120</v>
      </c>
      <c r="D226" s="31" t="s">
        <v>274</v>
      </c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x14ac:dyDescent="0.35">
      <c r="A227" t="s">
        <v>144</v>
      </c>
      <c r="C227" t="s">
        <v>120</v>
      </c>
      <c r="D227" t="s">
        <v>239</v>
      </c>
    </row>
    <row r="228" spans="1:15" x14ac:dyDescent="0.35">
      <c r="D228" t="s">
        <v>146</v>
      </c>
    </row>
    <row r="229" spans="1:15" x14ac:dyDescent="0.35">
      <c r="D229" t="s">
        <v>275</v>
      </c>
    </row>
    <row r="230" spans="1:15" x14ac:dyDescent="0.35">
      <c r="A230" s="2" t="s">
        <v>147</v>
      </c>
      <c r="D230" s="27" t="s">
        <v>131</v>
      </c>
      <c r="E230" s="28"/>
      <c r="F230" s="2" t="s">
        <v>148</v>
      </c>
      <c r="M230" s="2" t="s">
        <v>149</v>
      </c>
      <c r="O230" s="2" t="s">
        <v>78</v>
      </c>
    </row>
    <row r="232" spans="1:15" x14ac:dyDescent="0.35">
      <c r="A232" t="s">
        <v>150</v>
      </c>
      <c r="M232" t="s">
        <v>241</v>
      </c>
      <c r="O232" s="10">
        <f>D225</f>
        <v>2981064</v>
      </c>
    </row>
    <row r="235" spans="1:15" x14ac:dyDescent="0.35">
      <c r="A235" t="s">
        <v>152</v>
      </c>
    </row>
    <row r="238" spans="1:15" x14ac:dyDescent="0.35">
      <c r="A238" t="s">
        <v>153</v>
      </c>
    </row>
    <row r="241" spans="1:15" x14ac:dyDescent="0.35">
      <c r="A241" t="s">
        <v>154</v>
      </c>
    </row>
    <row r="244" spans="1:15" ht="15.5" x14ac:dyDescent="0.35">
      <c r="B244" s="1" t="s">
        <v>114</v>
      </c>
    </row>
    <row r="245" spans="1:15" ht="15.5" x14ac:dyDescent="0.35">
      <c r="B245" s="1" t="s">
        <v>115</v>
      </c>
    </row>
    <row r="246" spans="1:15" x14ac:dyDescent="0.35">
      <c r="B246" s="18" t="s">
        <v>116</v>
      </c>
    </row>
    <row r="247" spans="1:15" x14ac:dyDescent="0.35">
      <c r="A247" s="19"/>
      <c r="B247" s="20" t="s">
        <v>117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</row>
    <row r="249" spans="1:15" x14ac:dyDescent="0.35">
      <c r="A249" s="37" t="s">
        <v>118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x14ac:dyDescent="0.35">
      <c r="L250" t="s">
        <v>119</v>
      </c>
      <c r="N250" t="s">
        <v>120</v>
      </c>
      <c r="O250" t="s">
        <v>121</v>
      </c>
    </row>
    <row r="251" spans="1:15" x14ac:dyDescent="0.35">
      <c r="A251" t="s">
        <v>122</v>
      </c>
      <c r="D251" s="2" t="s">
        <v>252</v>
      </c>
    </row>
    <row r="253" spans="1:15" x14ac:dyDescent="0.35">
      <c r="A253" s="3" t="s">
        <v>124</v>
      </c>
      <c r="B253" s="26" t="s">
        <v>125</v>
      </c>
      <c r="C253" s="23"/>
      <c r="D253" s="23"/>
      <c r="E253" s="23"/>
      <c r="F253" s="3" t="s">
        <v>78</v>
      </c>
      <c r="G253" s="3" t="s">
        <v>126</v>
      </c>
      <c r="H253" s="3" t="s">
        <v>127</v>
      </c>
      <c r="I253" s="3" t="s">
        <v>128</v>
      </c>
      <c r="J253" s="3" t="s">
        <v>129</v>
      </c>
      <c r="K253" s="3" t="s">
        <v>130</v>
      </c>
      <c r="L253" s="26" t="s">
        <v>131</v>
      </c>
      <c r="M253" s="23"/>
      <c r="N253" s="23"/>
      <c r="O253" s="23"/>
    </row>
    <row r="254" spans="1:15" ht="22" customHeight="1" x14ac:dyDescent="0.35">
      <c r="A254" s="21" t="s">
        <v>132</v>
      </c>
      <c r="B254" s="29" t="s">
        <v>183</v>
      </c>
      <c r="C254" s="23"/>
      <c r="D254" s="23"/>
      <c r="E254" s="23"/>
      <c r="F254" s="21">
        <v>4</v>
      </c>
      <c r="G254" s="21">
        <v>3</v>
      </c>
      <c r="H254" s="7">
        <v>65152</v>
      </c>
      <c r="I254" s="7">
        <f>F254*G254*H254</f>
        <v>781824</v>
      </c>
      <c r="J254" s="9">
        <v>0</v>
      </c>
      <c r="K254" s="7">
        <f>I254+J254</f>
        <v>781824</v>
      </c>
      <c r="L254">
        <v>1</v>
      </c>
      <c r="M254" t="s">
        <v>134</v>
      </c>
    </row>
    <row r="255" spans="1:15" ht="22" customHeight="1" x14ac:dyDescent="0.35">
      <c r="A255" s="21" t="s">
        <v>135</v>
      </c>
      <c r="B255" s="29" t="s">
        <v>181</v>
      </c>
      <c r="C255" s="23"/>
      <c r="D255" s="23"/>
      <c r="E255" s="23"/>
      <c r="F255" s="21">
        <v>4</v>
      </c>
      <c r="G255" s="21">
        <v>3</v>
      </c>
      <c r="H255" s="7">
        <v>67305</v>
      </c>
      <c r="I255" s="7">
        <f>F255*G255*H255</f>
        <v>807660</v>
      </c>
      <c r="J255" s="9">
        <v>0</v>
      </c>
      <c r="K255" s="7">
        <f>I255+J255</f>
        <v>807660</v>
      </c>
      <c r="N255">
        <v>2</v>
      </c>
      <c r="O255" t="s">
        <v>134</v>
      </c>
    </row>
    <row r="256" spans="1:15" ht="22" customHeight="1" x14ac:dyDescent="0.35">
      <c r="A256" s="21" t="s">
        <v>137</v>
      </c>
      <c r="B256" s="29" t="s">
        <v>191</v>
      </c>
      <c r="C256" s="23"/>
      <c r="D256" s="23"/>
      <c r="E256" s="23"/>
      <c r="F256" s="21">
        <v>4</v>
      </c>
      <c r="G256" s="21">
        <v>3</v>
      </c>
      <c r="H256" s="7">
        <v>84000</v>
      </c>
      <c r="I256" s="7">
        <f>F256*G256*H256</f>
        <v>1008000</v>
      </c>
      <c r="J256" s="9">
        <v>0</v>
      </c>
      <c r="K256" s="7">
        <f>I256+J256</f>
        <v>1008000</v>
      </c>
      <c r="L256">
        <v>3</v>
      </c>
      <c r="M256" t="s">
        <v>134</v>
      </c>
    </row>
    <row r="257" spans="1:15" ht="22" customHeight="1" x14ac:dyDescent="0.35">
      <c r="A257" s="21" t="s">
        <v>139</v>
      </c>
      <c r="B257" s="29" t="s">
        <v>59</v>
      </c>
      <c r="C257" s="23"/>
      <c r="D257" s="23"/>
      <c r="E257" s="23"/>
      <c r="F257" s="21">
        <v>4</v>
      </c>
      <c r="G257" s="21">
        <v>3</v>
      </c>
      <c r="H257" s="7">
        <v>61162</v>
      </c>
      <c r="I257" s="7">
        <f>F257*G257*H257</f>
        <v>733944</v>
      </c>
      <c r="J257" s="9">
        <v>88200</v>
      </c>
      <c r="K257" s="7">
        <f>I257+J257</f>
        <v>822144</v>
      </c>
      <c r="N257">
        <v>4</v>
      </c>
      <c r="O257" t="s">
        <v>134</v>
      </c>
    </row>
    <row r="258" spans="1:15" ht="24" customHeight="1" x14ac:dyDescent="0.35">
      <c r="A258" s="38" t="s">
        <v>273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x14ac:dyDescent="0.35">
      <c r="A259" t="s">
        <v>141</v>
      </c>
      <c r="C259" t="s">
        <v>120</v>
      </c>
      <c r="D259" s="40">
        <f>SUM(K254:K257)</f>
        <v>3419628</v>
      </c>
      <c r="E259" s="28"/>
    </row>
    <row r="260" spans="1:15" ht="30" customHeight="1" x14ac:dyDescent="0.35">
      <c r="A260" s="22" t="s">
        <v>142</v>
      </c>
      <c r="C260" s="22" t="s">
        <v>120</v>
      </c>
      <c r="D260" s="31" t="s">
        <v>276</v>
      </c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x14ac:dyDescent="0.35">
      <c r="A261" t="s">
        <v>144</v>
      </c>
      <c r="C261" t="s">
        <v>120</v>
      </c>
      <c r="D261" t="s">
        <v>239</v>
      </c>
    </row>
    <row r="262" spans="1:15" x14ac:dyDescent="0.35">
      <c r="D262" t="s">
        <v>146</v>
      </c>
    </row>
    <row r="263" spans="1:15" x14ac:dyDescent="0.35">
      <c r="D263" t="s">
        <v>275</v>
      </c>
    </row>
    <row r="264" spans="1:15" x14ac:dyDescent="0.35">
      <c r="A264" s="2" t="s">
        <v>147</v>
      </c>
      <c r="D264" s="27" t="s">
        <v>131</v>
      </c>
      <c r="E264" s="28"/>
      <c r="F264" s="2" t="s">
        <v>148</v>
      </c>
      <c r="M264" s="2" t="s">
        <v>149</v>
      </c>
      <c r="O264" s="2" t="s">
        <v>78</v>
      </c>
    </row>
    <row r="266" spans="1:15" x14ac:dyDescent="0.35">
      <c r="A266" t="s">
        <v>150</v>
      </c>
      <c r="M266" t="s">
        <v>241</v>
      </c>
      <c r="O266" s="10">
        <f>D259</f>
        <v>3419628</v>
      </c>
    </row>
    <row r="269" spans="1:15" x14ac:dyDescent="0.35">
      <c r="A269" t="s">
        <v>152</v>
      </c>
    </row>
    <row r="272" spans="1:15" x14ac:dyDescent="0.35">
      <c r="A272" t="s">
        <v>153</v>
      </c>
    </row>
    <row r="275" spans="1:15" x14ac:dyDescent="0.35">
      <c r="A275" t="s">
        <v>154</v>
      </c>
    </row>
    <row r="278" spans="1:15" ht="15.5" x14ac:dyDescent="0.35">
      <c r="B278" s="1" t="s">
        <v>114</v>
      </c>
    </row>
    <row r="279" spans="1:15" ht="15.5" x14ac:dyDescent="0.35">
      <c r="B279" s="1" t="s">
        <v>115</v>
      </c>
    </row>
    <row r="280" spans="1:15" x14ac:dyDescent="0.35">
      <c r="B280" s="18" t="s">
        <v>116</v>
      </c>
    </row>
    <row r="281" spans="1:15" x14ac:dyDescent="0.35">
      <c r="A281" s="19"/>
      <c r="B281" s="20" t="s">
        <v>117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</row>
    <row r="283" spans="1:15" x14ac:dyDescent="0.35">
      <c r="A283" s="37" t="s">
        <v>118</v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x14ac:dyDescent="0.35">
      <c r="L284" t="s">
        <v>119</v>
      </c>
      <c r="N284" t="s">
        <v>120</v>
      </c>
      <c r="O284" t="s">
        <v>121</v>
      </c>
    </row>
    <row r="285" spans="1:15" x14ac:dyDescent="0.35">
      <c r="A285" t="s">
        <v>122</v>
      </c>
      <c r="D285" s="2" t="s">
        <v>254</v>
      </c>
    </row>
    <row r="287" spans="1:15" x14ac:dyDescent="0.35">
      <c r="A287" s="3" t="s">
        <v>124</v>
      </c>
      <c r="B287" s="26" t="s">
        <v>125</v>
      </c>
      <c r="C287" s="23"/>
      <c r="D287" s="23"/>
      <c r="E287" s="23"/>
      <c r="F287" s="3" t="s">
        <v>78</v>
      </c>
      <c r="G287" s="3" t="s">
        <v>126</v>
      </c>
      <c r="H287" s="3" t="s">
        <v>127</v>
      </c>
      <c r="I287" s="3" t="s">
        <v>128</v>
      </c>
      <c r="J287" s="3" t="s">
        <v>129</v>
      </c>
      <c r="K287" s="3" t="s">
        <v>130</v>
      </c>
      <c r="L287" s="26" t="s">
        <v>131</v>
      </c>
      <c r="M287" s="23"/>
      <c r="N287" s="23"/>
      <c r="O287" s="23"/>
    </row>
    <row r="288" spans="1:15" ht="22" customHeight="1" x14ac:dyDescent="0.35">
      <c r="A288" s="21" t="s">
        <v>132</v>
      </c>
      <c r="B288" s="29" t="s">
        <v>211</v>
      </c>
      <c r="C288" s="23"/>
      <c r="D288" s="23"/>
      <c r="E288" s="23"/>
      <c r="F288" s="21">
        <v>4</v>
      </c>
      <c r="G288" s="21">
        <v>3</v>
      </c>
      <c r="H288" s="7">
        <v>75600</v>
      </c>
      <c r="I288" s="7">
        <f>F288*G288*H288</f>
        <v>907200</v>
      </c>
      <c r="J288" s="9">
        <v>0</v>
      </c>
      <c r="K288" s="7">
        <f>I288+J288</f>
        <v>907200</v>
      </c>
      <c r="L288">
        <v>1</v>
      </c>
      <c r="M288" t="s">
        <v>134</v>
      </c>
    </row>
    <row r="289" spans="1:15" ht="22" customHeight="1" x14ac:dyDescent="0.35">
      <c r="A289" s="21" t="s">
        <v>135</v>
      </c>
      <c r="B289" s="29" t="s">
        <v>133</v>
      </c>
      <c r="C289" s="23"/>
      <c r="D289" s="23"/>
      <c r="E289" s="23"/>
      <c r="F289" s="21">
        <v>4</v>
      </c>
      <c r="G289" s="21">
        <v>3</v>
      </c>
      <c r="H289" s="7">
        <v>80062</v>
      </c>
      <c r="I289" s="7">
        <f>F289*G289*H289</f>
        <v>960744</v>
      </c>
      <c r="J289" s="9">
        <v>0</v>
      </c>
      <c r="K289" s="7">
        <f>I289+J289</f>
        <v>960744</v>
      </c>
      <c r="N289">
        <v>2</v>
      </c>
      <c r="O289" t="s">
        <v>134</v>
      </c>
    </row>
    <row r="290" spans="1:15" ht="22" customHeight="1" x14ac:dyDescent="0.35">
      <c r="A290" s="21" t="s">
        <v>137</v>
      </c>
      <c r="B290" s="29" t="s">
        <v>212</v>
      </c>
      <c r="C290" s="23"/>
      <c r="D290" s="23"/>
      <c r="E290" s="23"/>
      <c r="F290" s="21">
        <v>4</v>
      </c>
      <c r="G290" s="21">
        <v>3</v>
      </c>
      <c r="H290" s="7">
        <v>71138</v>
      </c>
      <c r="I290" s="7">
        <f>F290*G290*H290</f>
        <v>853656</v>
      </c>
      <c r="J290" s="9">
        <v>0</v>
      </c>
      <c r="K290" s="7">
        <f>I290+J290</f>
        <v>853656</v>
      </c>
      <c r="L290">
        <v>3</v>
      </c>
      <c r="M290" t="s">
        <v>134</v>
      </c>
    </row>
    <row r="291" spans="1:15" ht="22" customHeight="1" x14ac:dyDescent="0.35">
      <c r="A291" s="21" t="s">
        <v>139</v>
      </c>
      <c r="B291" s="29" t="s">
        <v>230</v>
      </c>
      <c r="C291" s="23"/>
      <c r="D291" s="23"/>
      <c r="E291" s="23"/>
      <c r="F291" s="21">
        <v>4</v>
      </c>
      <c r="G291" s="21">
        <v>3</v>
      </c>
      <c r="H291" s="7">
        <v>67777</v>
      </c>
      <c r="I291" s="7">
        <f>F291*G291*H291</f>
        <v>813324</v>
      </c>
      <c r="J291" s="9">
        <v>0</v>
      </c>
      <c r="K291" s="7">
        <f>I291+J291</f>
        <v>813324</v>
      </c>
      <c r="N291">
        <v>4</v>
      </c>
      <c r="O291" t="s">
        <v>134</v>
      </c>
    </row>
    <row r="293" spans="1:15" x14ac:dyDescent="0.35">
      <c r="A293" t="s">
        <v>141</v>
      </c>
      <c r="C293" t="s">
        <v>120</v>
      </c>
      <c r="D293" s="40">
        <f>SUM(K288:K291)</f>
        <v>3534924</v>
      </c>
      <c r="E293" s="28"/>
    </row>
    <row r="294" spans="1:15" ht="30" customHeight="1" x14ac:dyDescent="0.35">
      <c r="A294" s="22" t="s">
        <v>142</v>
      </c>
      <c r="C294" s="22" t="s">
        <v>120</v>
      </c>
      <c r="D294" s="31" t="s">
        <v>255</v>
      </c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x14ac:dyDescent="0.35">
      <c r="A295" t="s">
        <v>144</v>
      </c>
      <c r="C295" t="s">
        <v>120</v>
      </c>
      <c r="D295" t="s">
        <v>239</v>
      </c>
    </row>
    <row r="296" spans="1:15" x14ac:dyDescent="0.35">
      <c r="D296" t="s">
        <v>146</v>
      </c>
    </row>
    <row r="298" spans="1:15" x14ac:dyDescent="0.35">
      <c r="A298" s="2" t="s">
        <v>147</v>
      </c>
      <c r="D298" s="27" t="s">
        <v>131</v>
      </c>
      <c r="E298" s="28"/>
      <c r="F298" s="2" t="s">
        <v>148</v>
      </c>
      <c r="M298" s="2" t="s">
        <v>149</v>
      </c>
      <c r="O298" s="2" t="s">
        <v>78</v>
      </c>
    </row>
    <row r="300" spans="1:15" x14ac:dyDescent="0.35">
      <c r="A300" t="s">
        <v>150</v>
      </c>
      <c r="M300" t="s">
        <v>241</v>
      </c>
      <c r="O300" s="10">
        <f>D293</f>
        <v>3534924</v>
      </c>
    </row>
    <row r="303" spans="1:15" x14ac:dyDescent="0.35">
      <c r="A303" t="s">
        <v>152</v>
      </c>
    </row>
    <row r="306" spans="1:15" x14ac:dyDescent="0.35">
      <c r="A306" t="s">
        <v>153</v>
      </c>
    </row>
    <row r="309" spans="1:15" x14ac:dyDescent="0.35">
      <c r="A309" t="s">
        <v>154</v>
      </c>
    </row>
    <row r="312" spans="1:15" ht="15.5" x14ac:dyDescent="0.35">
      <c r="B312" s="1" t="s">
        <v>114</v>
      </c>
    </row>
    <row r="313" spans="1:15" ht="15.5" x14ac:dyDescent="0.35">
      <c r="B313" s="1" t="s">
        <v>115</v>
      </c>
    </row>
    <row r="314" spans="1:15" x14ac:dyDescent="0.35">
      <c r="B314" s="18" t="s">
        <v>116</v>
      </c>
    </row>
    <row r="315" spans="1:15" x14ac:dyDescent="0.35">
      <c r="A315" s="19"/>
      <c r="B315" s="20" t="s">
        <v>117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</row>
    <row r="317" spans="1:15" x14ac:dyDescent="0.35">
      <c r="A317" s="37" t="s">
        <v>118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x14ac:dyDescent="0.35">
      <c r="L318" t="s">
        <v>119</v>
      </c>
      <c r="N318" t="s">
        <v>120</v>
      </c>
      <c r="O318" t="s">
        <v>121</v>
      </c>
    </row>
    <row r="319" spans="1:15" x14ac:dyDescent="0.35">
      <c r="A319" t="s">
        <v>122</v>
      </c>
      <c r="D319" s="2" t="s">
        <v>256</v>
      </c>
    </row>
    <row r="321" spans="1:15" x14ac:dyDescent="0.35">
      <c r="A321" s="3" t="s">
        <v>124</v>
      </c>
      <c r="B321" s="26" t="s">
        <v>125</v>
      </c>
      <c r="C321" s="23"/>
      <c r="D321" s="23"/>
      <c r="E321" s="23"/>
      <c r="F321" s="3" t="s">
        <v>78</v>
      </c>
      <c r="G321" s="3" t="s">
        <v>126</v>
      </c>
      <c r="H321" s="3" t="s">
        <v>127</v>
      </c>
      <c r="I321" s="3" t="s">
        <v>128</v>
      </c>
      <c r="J321" s="3" t="s">
        <v>129</v>
      </c>
      <c r="K321" s="3" t="s">
        <v>130</v>
      </c>
      <c r="L321" s="26" t="s">
        <v>131</v>
      </c>
      <c r="M321" s="23"/>
      <c r="N321" s="23"/>
      <c r="O321" s="23"/>
    </row>
    <row r="322" spans="1:15" ht="22" customHeight="1" x14ac:dyDescent="0.35">
      <c r="A322" s="21" t="s">
        <v>132</v>
      </c>
      <c r="B322" s="29" t="s">
        <v>192</v>
      </c>
      <c r="C322" s="23"/>
      <c r="D322" s="23"/>
      <c r="E322" s="23"/>
      <c r="F322" s="21">
        <v>4</v>
      </c>
      <c r="G322" s="21">
        <v>3</v>
      </c>
      <c r="H322" s="7">
        <v>53812</v>
      </c>
      <c r="I322" s="7">
        <f>F322*G322*H322</f>
        <v>645744</v>
      </c>
      <c r="J322" s="9">
        <v>0</v>
      </c>
      <c r="K322" s="7">
        <f>I322+J322</f>
        <v>645744</v>
      </c>
      <c r="L322">
        <v>1</v>
      </c>
      <c r="M322" t="s">
        <v>134</v>
      </c>
    </row>
    <row r="323" spans="1:15" ht="22" customHeight="1" x14ac:dyDescent="0.35">
      <c r="A323" s="21" t="s">
        <v>135</v>
      </c>
      <c r="B323" s="29" t="s">
        <v>182</v>
      </c>
      <c r="C323" s="23"/>
      <c r="D323" s="23"/>
      <c r="E323" s="23"/>
      <c r="F323" s="21">
        <v>4</v>
      </c>
      <c r="G323" s="21">
        <v>3</v>
      </c>
      <c r="H323" s="7">
        <v>81375</v>
      </c>
      <c r="I323" s="7">
        <f>F323*G323*H323</f>
        <v>976500</v>
      </c>
      <c r="J323" s="9">
        <v>0</v>
      </c>
      <c r="K323" s="7">
        <f>I323+J323</f>
        <v>976500</v>
      </c>
      <c r="N323">
        <v>2</v>
      </c>
      <c r="O323" t="s">
        <v>134</v>
      </c>
    </row>
    <row r="324" spans="1:15" ht="22" customHeight="1" x14ac:dyDescent="0.35">
      <c r="A324" s="21" t="s">
        <v>137</v>
      </c>
      <c r="B324" s="29" t="s">
        <v>229</v>
      </c>
      <c r="C324" s="23"/>
      <c r="D324" s="23"/>
      <c r="E324" s="23"/>
      <c r="F324" s="21">
        <v>4</v>
      </c>
      <c r="G324" s="21">
        <v>3</v>
      </c>
      <c r="H324" s="7">
        <v>81375</v>
      </c>
      <c r="I324" s="7">
        <f>F324*G324*H324</f>
        <v>976500</v>
      </c>
      <c r="J324" s="9">
        <v>0</v>
      </c>
      <c r="K324" s="7">
        <f>I324+J324</f>
        <v>976500</v>
      </c>
      <c r="L324">
        <v>3</v>
      </c>
      <c r="M324" t="s">
        <v>134</v>
      </c>
    </row>
    <row r="325" spans="1:15" ht="22" customHeight="1" x14ac:dyDescent="0.35">
      <c r="A325" s="21" t="s">
        <v>139</v>
      </c>
      <c r="B325" s="29" t="s">
        <v>203</v>
      </c>
      <c r="C325" s="23"/>
      <c r="D325" s="23"/>
      <c r="E325" s="23"/>
      <c r="F325" s="21">
        <v>4</v>
      </c>
      <c r="G325" s="21">
        <v>3</v>
      </c>
      <c r="H325" s="7">
        <v>59115</v>
      </c>
      <c r="I325" s="7">
        <f>F325*G325*H325</f>
        <v>709380</v>
      </c>
      <c r="J325" s="9">
        <v>0</v>
      </c>
      <c r="K325" s="7">
        <f>I325+J325</f>
        <v>709380</v>
      </c>
      <c r="N325">
        <v>4</v>
      </c>
      <c r="O325" t="s">
        <v>134</v>
      </c>
    </row>
    <row r="326" spans="1:15" ht="22" customHeight="1" x14ac:dyDescent="0.35">
      <c r="A326" s="21" t="s">
        <v>202</v>
      </c>
      <c r="B326" s="29" t="s">
        <v>201</v>
      </c>
      <c r="C326" s="23"/>
      <c r="D326" s="23"/>
      <c r="E326" s="23"/>
      <c r="F326" s="21">
        <v>4</v>
      </c>
      <c r="G326" s="21">
        <v>3</v>
      </c>
      <c r="H326" s="7">
        <v>53812</v>
      </c>
      <c r="I326" s="7">
        <f>F326*G326*H326</f>
        <v>645744</v>
      </c>
      <c r="J326" s="9">
        <v>0</v>
      </c>
      <c r="K326" s="7">
        <f>I326+J326</f>
        <v>645744</v>
      </c>
      <c r="L326">
        <v>5</v>
      </c>
      <c r="M326" t="s">
        <v>134</v>
      </c>
    </row>
    <row r="328" spans="1:15" x14ac:dyDescent="0.35">
      <c r="A328" t="s">
        <v>141</v>
      </c>
      <c r="C328" t="s">
        <v>120</v>
      </c>
      <c r="D328" s="40">
        <f>SUM(K322:K326)</f>
        <v>3953868</v>
      </c>
      <c r="E328" s="28"/>
    </row>
    <row r="329" spans="1:15" ht="30" customHeight="1" x14ac:dyDescent="0.35">
      <c r="A329" s="22" t="s">
        <v>142</v>
      </c>
      <c r="C329" s="22" t="s">
        <v>120</v>
      </c>
      <c r="D329" s="31" t="s">
        <v>257</v>
      </c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15" x14ac:dyDescent="0.35">
      <c r="A330" t="s">
        <v>144</v>
      </c>
      <c r="C330" t="s">
        <v>120</v>
      </c>
      <c r="D330" t="s">
        <v>239</v>
      </c>
    </row>
    <row r="331" spans="1:15" x14ac:dyDescent="0.35">
      <c r="D331" t="s">
        <v>146</v>
      </c>
    </row>
    <row r="333" spans="1:15" x14ac:dyDescent="0.35">
      <c r="A333" s="2" t="s">
        <v>147</v>
      </c>
      <c r="D333" s="27" t="s">
        <v>131</v>
      </c>
      <c r="E333" s="28"/>
      <c r="F333" s="2" t="s">
        <v>148</v>
      </c>
      <c r="M333" s="2" t="s">
        <v>149</v>
      </c>
      <c r="O333" s="2" t="s">
        <v>78</v>
      </c>
    </row>
    <row r="335" spans="1:15" x14ac:dyDescent="0.35">
      <c r="A335" t="s">
        <v>150</v>
      </c>
      <c r="M335" t="s">
        <v>241</v>
      </c>
      <c r="O335" s="10">
        <f>D328</f>
        <v>3953868</v>
      </c>
    </row>
    <row r="338" spans="1:15" x14ac:dyDescent="0.35">
      <c r="A338" t="s">
        <v>152</v>
      </c>
    </row>
    <row r="341" spans="1:15" x14ac:dyDescent="0.35">
      <c r="A341" t="s">
        <v>153</v>
      </c>
    </row>
    <row r="344" spans="1:15" x14ac:dyDescent="0.35">
      <c r="A344" t="s">
        <v>154</v>
      </c>
    </row>
    <row r="347" spans="1:15" ht="15.5" x14ac:dyDescent="0.35">
      <c r="B347" s="1" t="s">
        <v>114</v>
      </c>
    </row>
    <row r="348" spans="1:15" ht="15.5" x14ac:dyDescent="0.35">
      <c r="B348" s="1" t="s">
        <v>115</v>
      </c>
    </row>
    <row r="349" spans="1:15" x14ac:dyDescent="0.35">
      <c r="B349" s="18" t="s">
        <v>116</v>
      </c>
    </row>
    <row r="350" spans="1:15" x14ac:dyDescent="0.35">
      <c r="A350" s="19"/>
      <c r="B350" s="20" t="s">
        <v>117</v>
      </c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</row>
    <row r="352" spans="1:15" x14ac:dyDescent="0.35">
      <c r="A352" s="37" t="s">
        <v>118</v>
      </c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1:15" x14ac:dyDescent="0.35">
      <c r="L353" t="s">
        <v>119</v>
      </c>
      <c r="N353" t="s">
        <v>120</v>
      </c>
      <c r="O353" t="s">
        <v>121</v>
      </c>
    </row>
    <row r="354" spans="1:15" x14ac:dyDescent="0.35">
      <c r="A354" t="s">
        <v>122</v>
      </c>
      <c r="D354" s="2" t="s">
        <v>258</v>
      </c>
    </row>
    <row r="356" spans="1:15" x14ac:dyDescent="0.35">
      <c r="A356" s="3" t="s">
        <v>124</v>
      </c>
      <c r="B356" s="26" t="s">
        <v>125</v>
      </c>
      <c r="C356" s="23"/>
      <c r="D356" s="23"/>
      <c r="E356" s="23"/>
      <c r="F356" s="3" t="s">
        <v>78</v>
      </c>
      <c r="G356" s="3" t="s">
        <v>126</v>
      </c>
      <c r="H356" s="3" t="s">
        <v>127</v>
      </c>
      <c r="I356" s="3" t="s">
        <v>128</v>
      </c>
      <c r="J356" s="3" t="s">
        <v>129</v>
      </c>
      <c r="K356" s="3" t="s">
        <v>130</v>
      </c>
      <c r="L356" s="26" t="s">
        <v>131</v>
      </c>
      <c r="M356" s="23"/>
      <c r="N356" s="23"/>
      <c r="O356" s="23"/>
    </row>
    <row r="357" spans="1:15" ht="22" customHeight="1" x14ac:dyDescent="0.35">
      <c r="A357" s="21" t="s">
        <v>132</v>
      </c>
      <c r="B357" s="29" t="s">
        <v>62</v>
      </c>
      <c r="C357" s="23"/>
      <c r="D357" s="23"/>
      <c r="E357" s="23"/>
      <c r="F357" s="21">
        <v>4</v>
      </c>
      <c r="G357" s="21">
        <v>3</v>
      </c>
      <c r="H357" s="7">
        <v>74287</v>
      </c>
      <c r="I357" s="7">
        <f>F357*G357*H357</f>
        <v>891444</v>
      </c>
      <c r="J357" s="9">
        <v>37788</v>
      </c>
      <c r="K357" s="7">
        <f>I357+J357</f>
        <v>929232</v>
      </c>
      <c r="L357">
        <v>1</v>
      </c>
      <c r="M357" t="s">
        <v>134</v>
      </c>
    </row>
    <row r="358" spans="1:15" ht="22" customHeight="1" x14ac:dyDescent="0.35">
      <c r="A358" s="21" t="s">
        <v>135</v>
      </c>
      <c r="B358" s="29" t="s">
        <v>226</v>
      </c>
      <c r="C358" s="23"/>
      <c r="D358" s="23"/>
      <c r="E358" s="23"/>
      <c r="F358" s="21">
        <v>4</v>
      </c>
      <c r="G358" s="21">
        <v>3</v>
      </c>
      <c r="H358" s="7">
        <v>54652</v>
      </c>
      <c r="I358" s="7">
        <f>F358*G358*H358</f>
        <v>655824</v>
      </c>
      <c r="J358" s="9">
        <v>0</v>
      </c>
      <c r="K358" s="7">
        <f>I358+J358</f>
        <v>655824</v>
      </c>
      <c r="N358">
        <v>2</v>
      </c>
      <c r="O358" t="s">
        <v>134</v>
      </c>
    </row>
    <row r="359" spans="1:15" ht="22" customHeight="1" x14ac:dyDescent="0.35">
      <c r="A359" s="21" t="s">
        <v>137</v>
      </c>
      <c r="B359" s="29" t="s">
        <v>186</v>
      </c>
      <c r="C359" s="23"/>
      <c r="D359" s="23"/>
      <c r="E359" s="23"/>
      <c r="F359" s="21">
        <v>4</v>
      </c>
      <c r="G359" s="21">
        <v>3</v>
      </c>
      <c r="H359" s="7">
        <v>74287</v>
      </c>
      <c r="I359" s="7">
        <f>F359*G359*H359</f>
        <v>891444</v>
      </c>
      <c r="J359" s="9">
        <v>0</v>
      </c>
      <c r="K359" s="7">
        <f>I359+J359</f>
        <v>891444</v>
      </c>
      <c r="L359">
        <v>3</v>
      </c>
      <c r="M359" t="s">
        <v>134</v>
      </c>
    </row>
    <row r="360" spans="1:15" ht="22" customHeight="1" x14ac:dyDescent="0.35">
      <c r="A360" s="21" t="s">
        <v>139</v>
      </c>
      <c r="B360" s="29" t="s">
        <v>187</v>
      </c>
      <c r="C360" s="23"/>
      <c r="D360" s="23"/>
      <c r="E360" s="23"/>
      <c r="F360" s="21">
        <v>4</v>
      </c>
      <c r="G360" s="21">
        <v>3</v>
      </c>
      <c r="H360" s="7">
        <v>60000</v>
      </c>
      <c r="I360" s="7">
        <f>F360*G360*H360</f>
        <v>720000</v>
      </c>
      <c r="J360" s="9">
        <v>0</v>
      </c>
      <c r="K360" s="7">
        <f>I360+J360</f>
        <v>720000</v>
      </c>
      <c r="N360">
        <v>4</v>
      </c>
      <c r="O360" t="s">
        <v>134</v>
      </c>
    </row>
    <row r="361" spans="1:15" ht="22" customHeight="1" x14ac:dyDescent="0.35">
      <c r="A361" s="21" t="s">
        <v>202</v>
      </c>
      <c r="B361" s="29" t="s">
        <v>65</v>
      </c>
      <c r="C361" s="23"/>
      <c r="D361" s="23"/>
      <c r="E361" s="23"/>
      <c r="F361" s="21">
        <v>4</v>
      </c>
      <c r="G361" s="21">
        <v>3</v>
      </c>
      <c r="H361" s="7">
        <v>45000</v>
      </c>
      <c r="I361" s="7">
        <f>F361*G361*H361</f>
        <v>540000</v>
      </c>
      <c r="J361" s="9">
        <v>50388</v>
      </c>
      <c r="K361" s="7">
        <f>I361+J361</f>
        <v>590388</v>
      </c>
      <c r="L361">
        <v>5</v>
      </c>
      <c r="M361" t="s">
        <v>134</v>
      </c>
    </row>
    <row r="362" spans="1:15" ht="24" customHeight="1" x14ac:dyDescent="0.35">
      <c r="A362" s="38" t="s">
        <v>273</v>
      </c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 spans="1:15" x14ac:dyDescent="0.35">
      <c r="A363" t="s">
        <v>141</v>
      </c>
      <c r="C363" t="s">
        <v>120</v>
      </c>
      <c r="D363" s="40">
        <f>SUM(K357:K361)</f>
        <v>3786888</v>
      </c>
      <c r="E363" s="28"/>
    </row>
    <row r="364" spans="1:15" ht="30" customHeight="1" x14ac:dyDescent="0.35">
      <c r="A364" s="22" t="s">
        <v>142</v>
      </c>
      <c r="C364" s="22" t="s">
        <v>120</v>
      </c>
      <c r="D364" s="31" t="s">
        <v>277</v>
      </c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 spans="1:15" x14ac:dyDescent="0.35">
      <c r="A365" t="s">
        <v>144</v>
      </c>
      <c r="C365" t="s">
        <v>120</v>
      </c>
      <c r="D365" t="s">
        <v>239</v>
      </c>
    </row>
    <row r="366" spans="1:15" x14ac:dyDescent="0.35">
      <c r="D366" t="s">
        <v>146</v>
      </c>
    </row>
    <row r="367" spans="1:15" x14ac:dyDescent="0.35">
      <c r="D367" t="s">
        <v>275</v>
      </c>
    </row>
    <row r="368" spans="1:15" x14ac:dyDescent="0.35">
      <c r="A368" s="2" t="s">
        <v>147</v>
      </c>
      <c r="D368" s="27" t="s">
        <v>131</v>
      </c>
      <c r="E368" s="28"/>
      <c r="F368" s="2" t="s">
        <v>148</v>
      </c>
      <c r="M368" s="2" t="s">
        <v>149</v>
      </c>
      <c r="O368" s="2" t="s">
        <v>78</v>
      </c>
    </row>
    <row r="370" spans="1:15" x14ac:dyDescent="0.35">
      <c r="A370" t="s">
        <v>150</v>
      </c>
      <c r="M370" t="s">
        <v>241</v>
      </c>
      <c r="O370" s="10">
        <f>D363</f>
        <v>3786888</v>
      </c>
    </row>
    <row r="373" spans="1:15" x14ac:dyDescent="0.35">
      <c r="A373" t="s">
        <v>152</v>
      </c>
    </row>
    <row r="376" spans="1:15" x14ac:dyDescent="0.35">
      <c r="A376" t="s">
        <v>153</v>
      </c>
    </row>
    <row r="379" spans="1:15" x14ac:dyDescent="0.35">
      <c r="A379" t="s">
        <v>154</v>
      </c>
    </row>
    <row r="382" spans="1:15" ht="15.5" x14ac:dyDescent="0.35">
      <c r="B382" s="1" t="s">
        <v>114</v>
      </c>
    </row>
    <row r="383" spans="1:15" ht="15.5" x14ac:dyDescent="0.35">
      <c r="B383" s="1" t="s">
        <v>115</v>
      </c>
    </row>
    <row r="384" spans="1:15" x14ac:dyDescent="0.35">
      <c r="B384" s="18" t="s">
        <v>116</v>
      </c>
    </row>
    <row r="385" spans="1:15" x14ac:dyDescent="0.35">
      <c r="A385" s="19"/>
      <c r="B385" s="20" t="s">
        <v>117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</row>
    <row r="387" spans="1:15" x14ac:dyDescent="0.35">
      <c r="A387" s="37" t="s">
        <v>118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 spans="1:15" x14ac:dyDescent="0.35">
      <c r="L388" t="s">
        <v>119</v>
      </c>
      <c r="N388" t="s">
        <v>120</v>
      </c>
      <c r="O388" t="s">
        <v>121</v>
      </c>
    </row>
    <row r="389" spans="1:15" x14ac:dyDescent="0.35">
      <c r="A389" t="s">
        <v>122</v>
      </c>
      <c r="D389" s="2" t="s">
        <v>260</v>
      </c>
    </row>
    <row r="391" spans="1:15" x14ac:dyDescent="0.35">
      <c r="A391" s="3" t="s">
        <v>124</v>
      </c>
      <c r="B391" s="26" t="s">
        <v>125</v>
      </c>
      <c r="C391" s="23"/>
      <c r="D391" s="23"/>
      <c r="E391" s="23"/>
      <c r="F391" s="3" t="s">
        <v>78</v>
      </c>
      <c r="G391" s="3" t="s">
        <v>126</v>
      </c>
      <c r="H391" s="3" t="s">
        <v>127</v>
      </c>
      <c r="I391" s="3" t="s">
        <v>128</v>
      </c>
      <c r="J391" s="3" t="s">
        <v>129</v>
      </c>
      <c r="K391" s="3" t="s">
        <v>130</v>
      </c>
      <c r="L391" s="26" t="s">
        <v>131</v>
      </c>
      <c r="M391" s="23"/>
      <c r="N391" s="23"/>
      <c r="O391" s="23"/>
    </row>
    <row r="392" spans="1:15" ht="22" customHeight="1" x14ac:dyDescent="0.35">
      <c r="A392" s="21" t="s">
        <v>132</v>
      </c>
      <c r="B392" s="29" t="s">
        <v>231</v>
      </c>
      <c r="C392" s="23"/>
      <c r="D392" s="23"/>
      <c r="E392" s="23"/>
      <c r="F392" s="21">
        <v>4</v>
      </c>
      <c r="G392" s="21">
        <v>3</v>
      </c>
      <c r="H392" s="7">
        <v>66465</v>
      </c>
      <c r="I392" s="7">
        <f>F392*G392*H392</f>
        <v>797580</v>
      </c>
      <c r="J392" s="9">
        <v>0</v>
      </c>
      <c r="K392" s="7">
        <f>I392+J392</f>
        <v>797580</v>
      </c>
      <c r="L392">
        <v>1</v>
      </c>
      <c r="M392" t="s">
        <v>134</v>
      </c>
    </row>
    <row r="393" spans="1:15" ht="22" customHeight="1" x14ac:dyDescent="0.35">
      <c r="A393" s="21" t="s">
        <v>135</v>
      </c>
      <c r="B393" s="29" t="s">
        <v>214</v>
      </c>
      <c r="C393" s="23"/>
      <c r="D393" s="23"/>
      <c r="E393" s="23"/>
      <c r="F393" s="21">
        <v>4</v>
      </c>
      <c r="G393" s="21">
        <v>3</v>
      </c>
      <c r="H393" s="7">
        <v>71138</v>
      </c>
      <c r="I393" s="7">
        <f>F393*G393*H393</f>
        <v>853656</v>
      </c>
      <c r="J393" s="9">
        <v>0</v>
      </c>
      <c r="K393" s="7">
        <f>I393+J393</f>
        <v>853656</v>
      </c>
      <c r="N393">
        <v>2</v>
      </c>
      <c r="O393" t="s">
        <v>134</v>
      </c>
    </row>
    <row r="394" spans="1:15" ht="22" customHeight="1" x14ac:dyDescent="0.35">
      <c r="A394" s="21" t="s">
        <v>137</v>
      </c>
      <c r="B394" s="29" t="s">
        <v>213</v>
      </c>
      <c r="C394" s="23"/>
      <c r="D394" s="23"/>
      <c r="E394" s="23"/>
      <c r="F394" s="21">
        <v>4</v>
      </c>
      <c r="G394" s="21">
        <v>3</v>
      </c>
      <c r="H394" s="7">
        <v>63000</v>
      </c>
      <c r="I394" s="7">
        <f>F394*G394*H394</f>
        <v>756000</v>
      </c>
      <c r="J394" s="9">
        <v>0</v>
      </c>
      <c r="K394" s="7">
        <f>I394+J394</f>
        <v>756000</v>
      </c>
      <c r="L394">
        <v>3</v>
      </c>
      <c r="M394" t="s">
        <v>134</v>
      </c>
    </row>
    <row r="395" spans="1:15" ht="22" customHeight="1" x14ac:dyDescent="0.35">
      <c r="A395" s="21" t="s">
        <v>139</v>
      </c>
      <c r="B395" s="29" t="s">
        <v>140</v>
      </c>
      <c r="C395" s="23"/>
      <c r="D395" s="23"/>
      <c r="E395" s="23"/>
      <c r="F395" s="21">
        <v>4</v>
      </c>
      <c r="G395" s="21">
        <v>3</v>
      </c>
      <c r="H395" s="7">
        <v>45000</v>
      </c>
      <c r="I395" s="7">
        <f>F395*G395*H395</f>
        <v>540000</v>
      </c>
      <c r="J395" s="9">
        <v>0</v>
      </c>
      <c r="K395" s="7">
        <f>I395+J395</f>
        <v>540000</v>
      </c>
      <c r="N395">
        <v>4</v>
      </c>
      <c r="O395" t="s">
        <v>134</v>
      </c>
    </row>
    <row r="396" spans="1:15" ht="22" customHeight="1" x14ac:dyDescent="0.35">
      <c r="A396" s="21" t="s">
        <v>202</v>
      </c>
      <c r="B396" s="29" t="s">
        <v>68</v>
      </c>
      <c r="C396" s="23"/>
      <c r="D396" s="23"/>
      <c r="E396" s="23"/>
      <c r="F396" s="21">
        <v>4</v>
      </c>
      <c r="G396" s="21">
        <v>3</v>
      </c>
      <c r="H396" s="7">
        <v>57000</v>
      </c>
      <c r="I396" s="7">
        <f>F396*G396*H396</f>
        <v>684000</v>
      </c>
      <c r="J396" s="9">
        <v>36000</v>
      </c>
      <c r="K396" s="7">
        <f>I396+J396</f>
        <v>720000</v>
      </c>
      <c r="L396">
        <v>5</v>
      </c>
      <c r="M396" t="s">
        <v>134</v>
      </c>
    </row>
    <row r="397" spans="1:15" ht="24" customHeight="1" x14ac:dyDescent="0.35">
      <c r="A397" s="38" t="s">
        <v>273</v>
      </c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 spans="1:15" x14ac:dyDescent="0.35">
      <c r="A398" t="s">
        <v>141</v>
      </c>
      <c r="C398" t="s">
        <v>120</v>
      </c>
      <c r="D398" s="40">
        <f>SUM(K392:K396)</f>
        <v>3667236</v>
      </c>
      <c r="E398" s="28"/>
    </row>
    <row r="399" spans="1:15" ht="30" customHeight="1" x14ac:dyDescent="0.35">
      <c r="A399" s="22" t="s">
        <v>142</v>
      </c>
      <c r="C399" s="22" t="s">
        <v>120</v>
      </c>
      <c r="D399" s="31" t="s">
        <v>278</v>
      </c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 spans="1:15" x14ac:dyDescent="0.35">
      <c r="A400" t="s">
        <v>144</v>
      </c>
      <c r="C400" t="s">
        <v>120</v>
      </c>
      <c r="D400" t="s">
        <v>239</v>
      </c>
    </row>
    <row r="401" spans="1:15" x14ac:dyDescent="0.35">
      <c r="D401" t="s">
        <v>146</v>
      </c>
    </row>
    <row r="402" spans="1:15" x14ac:dyDescent="0.35">
      <c r="D402" t="s">
        <v>275</v>
      </c>
    </row>
    <row r="403" spans="1:15" x14ac:dyDescent="0.35">
      <c r="A403" s="2" t="s">
        <v>147</v>
      </c>
      <c r="D403" s="27" t="s">
        <v>131</v>
      </c>
      <c r="E403" s="28"/>
      <c r="F403" s="2" t="s">
        <v>148</v>
      </c>
      <c r="M403" s="2" t="s">
        <v>149</v>
      </c>
      <c r="O403" s="2" t="s">
        <v>78</v>
      </c>
    </row>
    <row r="405" spans="1:15" x14ac:dyDescent="0.35">
      <c r="A405" t="s">
        <v>150</v>
      </c>
      <c r="M405" t="s">
        <v>241</v>
      </c>
      <c r="O405" s="10">
        <f>D398</f>
        <v>3667236</v>
      </c>
    </row>
    <row r="408" spans="1:15" x14ac:dyDescent="0.35">
      <c r="A408" t="s">
        <v>152</v>
      </c>
    </row>
    <row r="411" spans="1:15" x14ac:dyDescent="0.35">
      <c r="A411" t="s">
        <v>153</v>
      </c>
    </row>
    <row r="414" spans="1:15" x14ac:dyDescent="0.35">
      <c r="A414" t="s">
        <v>154</v>
      </c>
    </row>
    <row r="417" spans="1:15" ht="15.5" x14ac:dyDescent="0.35">
      <c r="B417" s="1" t="s">
        <v>114</v>
      </c>
    </row>
    <row r="418" spans="1:15" ht="15.5" x14ac:dyDescent="0.35">
      <c r="B418" s="1" t="s">
        <v>115</v>
      </c>
    </row>
    <row r="419" spans="1:15" x14ac:dyDescent="0.35">
      <c r="B419" s="18" t="s">
        <v>116</v>
      </c>
    </row>
    <row r="420" spans="1:15" x14ac:dyDescent="0.35">
      <c r="A420" s="19"/>
      <c r="B420" s="20" t="s">
        <v>117</v>
      </c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</row>
    <row r="422" spans="1:15" x14ac:dyDescent="0.35">
      <c r="A422" s="37" t="s">
        <v>118</v>
      </c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 spans="1:15" x14ac:dyDescent="0.35">
      <c r="L423" t="s">
        <v>119</v>
      </c>
      <c r="N423" t="s">
        <v>120</v>
      </c>
      <c r="O423" t="s">
        <v>121</v>
      </c>
    </row>
    <row r="424" spans="1:15" x14ac:dyDescent="0.35">
      <c r="A424" t="s">
        <v>122</v>
      </c>
      <c r="D424" s="2" t="s">
        <v>262</v>
      </c>
    </row>
    <row r="426" spans="1:15" x14ac:dyDescent="0.35">
      <c r="A426" s="3" t="s">
        <v>124</v>
      </c>
      <c r="B426" s="26" t="s">
        <v>125</v>
      </c>
      <c r="C426" s="23"/>
      <c r="D426" s="23"/>
      <c r="E426" s="23"/>
      <c r="F426" s="3" t="s">
        <v>78</v>
      </c>
      <c r="G426" s="3" t="s">
        <v>126</v>
      </c>
      <c r="H426" s="3" t="s">
        <v>127</v>
      </c>
      <c r="I426" s="3" t="s">
        <v>128</v>
      </c>
      <c r="J426" s="3" t="s">
        <v>129</v>
      </c>
      <c r="K426" s="3" t="s">
        <v>130</v>
      </c>
      <c r="L426" s="26" t="s">
        <v>131</v>
      </c>
      <c r="M426" s="23"/>
      <c r="N426" s="23"/>
      <c r="O426" s="23"/>
    </row>
    <row r="427" spans="1:15" ht="22" customHeight="1" x14ac:dyDescent="0.35">
      <c r="A427" s="21" t="s">
        <v>132</v>
      </c>
      <c r="B427" s="29" t="s">
        <v>163</v>
      </c>
      <c r="C427" s="23"/>
      <c r="D427" s="23"/>
      <c r="E427" s="23"/>
      <c r="F427" s="21">
        <v>4</v>
      </c>
      <c r="G427" s="21">
        <v>3</v>
      </c>
      <c r="H427" s="7">
        <v>76912</v>
      </c>
      <c r="I427" s="7">
        <f>F427*G427*H427</f>
        <v>922944</v>
      </c>
      <c r="J427" s="9">
        <v>0</v>
      </c>
      <c r="K427" s="7">
        <f>I427+J427</f>
        <v>922944</v>
      </c>
      <c r="L427">
        <v>1</v>
      </c>
      <c r="M427" t="s">
        <v>134</v>
      </c>
    </row>
    <row r="428" spans="1:15" ht="22" customHeight="1" x14ac:dyDescent="0.35">
      <c r="A428" s="21" t="s">
        <v>135</v>
      </c>
      <c r="B428" s="29" t="s">
        <v>136</v>
      </c>
      <c r="C428" s="23"/>
      <c r="D428" s="23"/>
      <c r="E428" s="23"/>
      <c r="F428" s="21">
        <v>4</v>
      </c>
      <c r="G428" s="21">
        <v>3</v>
      </c>
      <c r="H428" s="7">
        <v>76912</v>
      </c>
      <c r="I428" s="7">
        <f>F428*G428*H428</f>
        <v>922944</v>
      </c>
      <c r="J428" s="9">
        <v>0</v>
      </c>
      <c r="K428" s="7">
        <f>I428+J428</f>
        <v>922944</v>
      </c>
      <c r="N428">
        <v>2</v>
      </c>
      <c r="O428" t="s">
        <v>134</v>
      </c>
    </row>
    <row r="429" spans="1:15" ht="22" customHeight="1" x14ac:dyDescent="0.35">
      <c r="A429" s="21" t="s">
        <v>137</v>
      </c>
      <c r="B429" s="29" t="s">
        <v>197</v>
      </c>
      <c r="C429" s="23"/>
      <c r="D429" s="23"/>
      <c r="E429" s="23"/>
      <c r="F429" s="21">
        <v>4</v>
      </c>
      <c r="G429" s="21">
        <v>3</v>
      </c>
      <c r="H429" s="7">
        <v>63787</v>
      </c>
      <c r="I429" s="7">
        <f>F429*G429*H429</f>
        <v>765444</v>
      </c>
      <c r="J429" s="9">
        <v>0</v>
      </c>
      <c r="K429" s="7">
        <f>I429+J429</f>
        <v>765444</v>
      </c>
      <c r="L429">
        <v>3</v>
      </c>
      <c r="M429" t="s">
        <v>134</v>
      </c>
    </row>
    <row r="430" spans="1:15" ht="22" customHeight="1" x14ac:dyDescent="0.35">
      <c r="A430" s="21" t="s">
        <v>139</v>
      </c>
      <c r="B430" s="29" t="s">
        <v>224</v>
      </c>
      <c r="C430" s="23"/>
      <c r="D430" s="23"/>
      <c r="E430" s="23"/>
      <c r="F430" s="21">
        <v>4</v>
      </c>
      <c r="G430" s="21">
        <v>3</v>
      </c>
      <c r="H430" s="7">
        <v>66465</v>
      </c>
      <c r="I430" s="7">
        <f>F430*G430*H430</f>
        <v>797580</v>
      </c>
      <c r="J430" s="9">
        <v>0</v>
      </c>
      <c r="K430" s="7">
        <f>I430+J430</f>
        <v>797580</v>
      </c>
      <c r="N430">
        <v>4</v>
      </c>
      <c r="O430" t="s">
        <v>134</v>
      </c>
    </row>
    <row r="432" spans="1:15" x14ac:dyDescent="0.35">
      <c r="A432" t="s">
        <v>141</v>
      </c>
      <c r="C432" t="s">
        <v>120</v>
      </c>
      <c r="D432" s="40">
        <f>SUM(K427:K430)</f>
        <v>3408912</v>
      </c>
      <c r="E432" s="28"/>
    </row>
    <row r="433" spans="1:15" ht="30" customHeight="1" x14ac:dyDescent="0.35">
      <c r="A433" s="22" t="s">
        <v>142</v>
      </c>
      <c r="C433" s="22" t="s">
        <v>120</v>
      </c>
      <c r="D433" s="31" t="s">
        <v>263</v>
      </c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 spans="1:15" x14ac:dyDescent="0.35">
      <c r="A434" t="s">
        <v>144</v>
      </c>
      <c r="C434" t="s">
        <v>120</v>
      </c>
      <c r="D434" t="s">
        <v>239</v>
      </c>
    </row>
    <row r="435" spans="1:15" x14ac:dyDescent="0.35">
      <c r="D435" t="s">
        <v>146</v>
      </c>
    </row>
    <row r="437" spans="1:15" x14ac:dyDescent="0.35">
      <c r="A437" s="2" t="s">
        <v>147</v>
      </c>
      <c r="D437" s="27" t="s">
        <v>131</v>
      </c>
      <c r="E437" s="28"/>
      <c r="F437" s="2" t="s">
        <v>148</v>
      </c>
      <c r="M437" s="2" t="s">
        <v>149</v>
      </c>
      <c r="O437" s="2" t="s">
        <v>78</v>
      </c>
    </row>
    <row r="439" spans="1:15" x14ac:dyDescent="0.35">
      <c r="A439" t="s">
        <v>150</v>
      </c>
      <c r="M439" t="s">
        <v>241</v>
      </c>
      <c r="O439" s="10">
        <f>D432</f>
        <v>3408912</v>
      </c>
    </row>
    <row r="442" spans="1:15" x14ac:dyDescent="0.35">
      <c r="A442" t="s">
        <v>152</v>
      </c>
    </row>
    <row r="445" spans="1:15" x14ac:dyDescent="0.35">
      <c r="A445" t="s">
        <v>153</v>
      </c>
    </row>
    <row r="448" spans="1:15" x14ac:dyDescent="0.35">
      <c r="A448" t="s">
        <v>154</v>
      </c>
    </row>
    <row r="451" spans="1:15" ht="15.5" x14ac:dyDescent="0.35">
      <c r="B451" s="1" t="s">
        <v>114</v>
      </c>
    </row>
    <row r="452" spans="1:15" ht="15.5" x14ac:dyDescent="0.35">
      <c r="B452" s="1" t="s">
        <v>115</v>
      </c>
    </row>
    <row r="453" spans="1:15" x14ac:dyDescent="0.35">
      <c r="B453" s="18" t="s">
        <v>116</v>
      </c>
    </row>
    <row r="454" spans="1:15" x14ac:dyDescent="0.35">
      <c r="A454" s="19"/>
      <c r="B454" s="20" t="s">
        <v>117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</row>
    <row r="456" spans="1:15" x14ac:dyDescent="0.35">
      <c r="A456" s="37" t="s">
        <v>118</v>
      </c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 spans="1:15" x14ac:dyDescent="0.35">
      <c r="L457" t="s">
        <v>119</v>
      </c>
      <c r="N457" t="s">
        <v>120</v>
      </c>
      <c r="O457" t="s">
        <v>121</v>
      </c>
    </row>
    <row r="458" spans="1:15" x14ac:dyDescent="0.35">
      <c r="A458" t="s">
        <v>122</v>
      </c>
      <c r="D458" s="2" t="s">
        <v>264</v>
      </c>
    </row>
    <row r="460" spans="1:15" x14ac:dyDescent="0.35">
      <c r="A460" s="3" t="s">
        <v>124</v>
      </c>
      <c r="B460" s="26" t="s">
        <v>125</v>
      </c>
      <c r="C460" s="23"/>
      <c r="D460" s="23"/>
      <c r="E460" s="23"/>
      <c r="F460" s="3" t="s">
        <v>78</v>
      </c>
      <c r="G460" s="3" t="s">
        <v>126</v>
      </c>
      <c r="H460" s="3" t="s">
        <v>127</v>
      </c>
      <c r="I460" s="3" t="s">
        <v>128</v>
      </c>
      <c r="J460" s="3" t="s">
        <v>129</v>
      </c>
      <c r="K460" s="3" t="s">
        <v>130</v>
      </c>
      <c r="L460" s="26" t="s">
        <v>131</v>
      </c>
      <c r="M460" s="23"/>
      <c r="N460" s="23"/>
      <c r="O460" s="23"/>
    </row>
    <row r="461" spans="1:15" ht="22" customHeight="1" x14ac:dyDescent="0.35">
      <c r="A461" s="21" t="s">
        <v>132</v>
      </c>
      <c r="B461" s="29" t="s">
        <v>71</v>
      </c>
      <c r="C461" s="23"/>
      <c r="D461" s="23"/>
      <c r="E461" s="23"/>
      <c r="F461" s="21">
        <v>4</v>
      </c>
      <c r="G461" s="21">
        <v>3</v>
      </c>
      <c r="H461" s="7">
        <v>78225</v>
      </c>
      <c r="I461" s="7">
        <f>F461*G461*H461</f>
        <v>938700</v>
      </c>
      <c r="J461" s="9">
        <v>173256</v>
      </c>
      <c r="K461" s="7">
        <f>I461+J461</f>
        <v>1111956</v>
      </c>
      <c r="L461">
        <v>1</v>
      </c>
      <c r="M461" t="s">
        <v>134</v>
      </c>
    </row>
    <row r="462" spans="1:15" ht="22" customHeight="1" x14ac:dyDescent="0.35">
      <c r="A462" s="21" t="s">
        <v>135</v>
      </c>
      <c r="B462" s="29" t="s">
        <v>162</v>
      </c>
      <c r="C462" s="23"/>
      <c r="D462" s="23"/>
      <c r="E462" s="23"/>
      <c r="F462" s="21">
        <v>4</v>
      </c>
      <c r="G462" s="21">
        <v>3</v>
      </c>
      <c r="H462" s="7">
        <v>78225</v>
      </c>
      <c r="I462" s="7">
        <f>F462*G462*H462</f>
        <v>938700</v>
      </c>
      <c r="J462" s="9">
        <v>0</v>
      </c>
      <c r="K462" s="7">
        <f>I462+J462</f>
        <v>938700</v>
      </c>
      <c r="N462">
        <v>2</v>
      </c>
      <c r="O462" t="s">
        <v>134</v>
      </c>
    </row>
    <row r="463" spans="1:15" ht="22" customHeight="1" x14ac:dyDescent="0.35">
      <c r="A463" s="21" t="s">
        <v>137</v>
      </c>
      <c r="B463" s="29" t="s">
        <v>208</v>
      </c>
      <c r="C463" s="23"/>
      <c r="D463" s="23"/>
      <c r="E463" s="23"/>
      <c r="F463" s="21">
        <v>4</v>
      </c>
      <c r="G463" s="21">
        <v>3</v>
      </c>
      <c r="H463" s="7">
        <v>51975</v>
      </c>
      <c r="I463" s="7">
        <f>F463*G463*H463</f>
        <v>623700</v>
      </c>
      <c r="J463" s="9">
        <v>0</v>
      </c>
      <c r="K463" s="7">
        <f>I463+J463</f>
        <v>623700</v>
      </c>
      <c r="L463">
        <v>3</v>
      </c>
      <c r="M463" t="s">
        <v>134</v>
      </c>
    </row>
    <row r="464" spans="1:15" ht="22" customHeight="1" x14ac:dyDescent="0.35">
      <c r="A464" s="21" t="s">
        <v>139</v>
      </c>
      <c r="B464" s="29" t="s">
        <v>164</v>
      </c>
      <c r="C464" s="23"/>
      <c r="D464" s="23"/>
      <c r="E464" s="23"/>
      <c r="F464" s="21">
        <v>4</v>
      </c>
      <c r="G464" s="21">
        <v>3</v>
      </c>
      <c r="H464" s="7">
        <v>45000</v>
      </c>
      <c r="I464" s="7">
        <f>F464*G464*H464</f>
        <v>540000</v>
      </c>
      <c r="J464" s="9">
        <v>0</v>
      </c>
      <c r="K464" s="7">
        <f>I464+J464</f>
        <v>540000</v>
      </c>
      <c r="N464">
        <v>4</v>
      </c>
      <c r="O464" t="s">
        <v>134</v>
      </c>
    </row>
    <row r="465" spans="1:15" ht="22" customHeight="1" x14ac:dyDescent="0.35">
      <c r="A465" s="21" t="s">
        <v>202</v>
      </c>
      <c r="B465" s="29" t="s">
        <v>221</v>
      </c>
      <c r="C465" s="23"/>
      <c r="D465" s="23"/>
      <c r="E465" s="23"/>
      <c r="F465" s="21">
        <v>4</v>
      </c>
      <c r="G465" s="21">
        <v>3</v>
      </c>
      <c r="H465" s="7">
        <v>56332</v>
      </c>
      <c r="I465" s="7">
        <f>F465*G465*H465</f>
        <v>675984</v>
      </c>
      <c r="J465" s="9">
        <v>0</v>
      </c>
      <c r="K465" s="7">
        <f>I465+J465</f>
        <v>675984</v>
      </c>
      <c r="L465">
        <v>5</v>
      </c>
      <c r="M465" t="s">
        <v>134</v>
      </c>
    </row>
    <row r="466" spans="1:15" ht="24" customHeight="1" x14ac:dyDescent="0.35">
      <c r="A466" s="38" t="s">
        <v>273</v>
      </c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1:15" x14ac:dyDescent="0.35">
      <c r="A467" t="s">
        <v>141</v>
      </c>
      <c r="C467" t="s">
        <v>120</v>
      </c>
      <c r="D467" s="40">
        <f>SUM(K461:K465)</f>
        <v>3890340</v>
      </c>
      <c r="E467" s="28"/>
    </row>
    <row r="468" spans="1:15" ht="30" customHeight="1" x14ac:dyDescent="0.35">
      <c r="A468" s="22" t="s">
        <v>142</v>
      </c>
      <c r="C468" s="22" t="s">
        <v>120</v>
      </c>
      <c r="D468" s="31" t="s">
        <v>279</v>
      </c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 spans="1:15" x14ac:dyDescent="0.35">
      <c r="A469" t="s">
        <v>144</v>
      </c>
      <c r="C469" t="s">
        <v>120</v>
      </c>
      <c r="D469" t="s">
        <v>239</v>
      </c>
    </row>
    <row r="470" spans="1:15" x14ac:dyDescent="0.35">
      <c r="D470" t="s">
        <v>146</v>
      </c>
    </row>
    <row r="471" spans="1:15" x14ac:dyDescent="0.35">
      <c r="D471" t="s">
        <v>275</v>
      </c>
    </row>
    <row r="472" spans="1:15" x14ac:dyDescent="0.35">
      <c r="A472" s="2" t="s">
        <v>147</v>
      </c>
      <c r="D472" s="27" t="s">
        <v>131</v>
      </c>
      <c r="E472" s="28"/>
      <c r="F472" s="2" t="s">
        <v>148</v>
      </c>
      <c r="M472" s="2" t="s">
        <v>149</v>
      </c>
      <c r="O472" s="2" t="s">
        <v>78</v>
      </c>
    </row>
    <row r="474" spans="1:15" x14ac:dyDescent="0.35">
      <c r="A474" t="s">
        <v>150</v>
      </c>
      <c r="M474" t="s">
        <v>241</v>
      </c>
      <c r="O474" s="10">
        <f>D467</f>
        <v>3890340</v>
      </c>
    </row>
    <row r="477" spans="1:15" x14ac:dyDescent="0.35">
      <c r="A477" t="s">
        <v>152</v>
      </c>
    </row>
    <row r="480" spans="1:15" x14ac:dyDescent="0.35">
      <c r="A480" t="s">
        <v>153</v>
      </c>
    </row>
    <row r="483" spans="1:1" x14ac:dyDescent="0.35">
      <c r="A483" t="s">
        <v>154</v>
      </c>
    </row>
  </sheetData>
  <mergeCells count="198">
    <mergeCell ref="D467:E467"/>
    <mergeCell ref="B359:E359"/>
    <mergeCell ref="G18:I18"/>
    <mergeCell ref="B5:E5"/>
    <mergeCell ref="B189:E189"/>
    <mergeCell ref="L115:O115"/>
    <mergeCell ref="B85:E85"/>
    <mergeCell ref="L11:O11"/>
    <mergeCell ref="B256:E256"/>
    <mergeCell ref="L391:O391"/>
    <mergeCell ref="L287:O287"/>
    <mergeCell ref="B356:E356"/>
    <mergeCell ref="B188:E188"/>
    <mergeCell ref="D57:E57"/>
    <mergeCell ref="D293:E293"/>
    <mergeCell ref="B150:E150"/>
    <mergeCell ref="A181:O181"/>
    <mergeCell ref="D225:E225"/>
    <mergeCell ref="B321:E321"/>
    <mergeCell ref="B46:E46"/>
    <mergeCell ref="L150:O150"/>
    <mergeCell ref="L321:O321"/>
    <mergeCell ref="B291:E291"/>
    <mergeCell ref="D87:E87"/>
    <mergeCell ref="A1:O1"/>
    <mergeCell ref="L10:O10"/>
    <mergeCell ref="G7:I7"/>
    <mergeCell ref="D158:O158"/>
    <mergeCell ref="B257:E257"/>
    <mergeCell ref="B9:E9"/>
    <mergeCell ref="B187:E187"/>
    <mergeCell ref="D191:E191"/>
    <mergeCell ref="B83:E83"/>
    <mergeCell ref="L9:O9"/>
    <mergeCell ref="B254:E254"/>
    <mergeCell ref="A4:O4"/>
    <mergeCell ref="L13:O13"/>
    <mergeCell ref="B152:E152"/>
    <mergeCell ref="B48:E48"/>
    <mergeCell ref="D122:E122"/>
    <mergeCell ref="B219:E219"/>
    <mergeCell ref="D88:O88"/>
    <mergeCell ref="L15:O15"/>
    <mergeCell ref="L185:O185"/>
    <mergeCell ref="G11:I11"/>
    <mergeCell ref="B8:E8"/>
    <mergeCell ref="B82:E82"/>
    <mergeCell ref="A19:E19"/>
    <mergeCell ref="A466:O466"/>
    <mergeCell ref="L18:O18"/>
    <mergeCell ref="D196:E196"/>
    <mergeCell ref="B358:E358"/>
    <mergeCell ref="B17:E17"/>
    <mergeCell ref="D432:E432"/>
    <mergeCell ref="L8:O8"/>
    <mergeCell ref="D92:E92"/>
    <mergeCell ref="D157:E157"/>
    <mergeCell ref="D328:E328"/>
    <mergeCell ref="D368:E368"/>
    <mergeCell ref="D260:O260"/>
    <mergeCell ref="B323:E323"/>
    <mergeCell ref="B322:E322"/>
    <mergeCell ref="L426:O426"/>
    <mergeCell ref="A352:O352"/>
    <mergeCell ref="B396:E396"/>
    <mergeCell ref="B461:E461"/>
    <mergeCell ref="B10:E10"/>
    <mergeCell ref="B460:E460"/>
    <mergeCell ref="D259:E259"/>
    <mergeCell ref="L460:O460"/>
    <mergeCell ref="D123:O123"/>
    <mergeCell ref="D264:E264"/>
    <mergeCell ref="A111:O111"/>
    <mergeCell ref="B120:E120"/>
    <mergeCell ref="G12:I12"/>
    <mergeCell ref="D399:O399"/>
    <mergeCell ref="G5:I5"/>
    <mergeCell ref="L219:O219"/>
    <mergeCell ref="A76:O76"/>
    <mergeCell ref="B153:E153"/>
    <mergeCell ref="B395:E395"/>
    <mergeCell ref="B7:E7"/>
    <mergeCell ref="B185:E185"/>
    <mergeCell ref="B81:E81"/>
    <mergeCell ref="L7:O7"/>
    <mergeCell ref="D294:O294"/>
    <mergeCell ref="D192:O192"/>
    <mergeCell ref="D162:E162"/>
    <mergeCell ref="B357:E357"/>
    <mergeCell ref="D226:O226"/>
    <mergeCell ref="A2:O2"/>
    <mergeCell ref="G14:I14"/>
    <mergeCell ref="B50:E50"/>
    <mergeCell ref="A42:O42"/>
    <mergeCell ref="B16:E16"/>
    <mergeCell ref="L356:O356"/>
    <mergeCell ref="A22:F22"/>
    <mergeCell ref="L16:O16"/>
    <mergeCell ref="A215:O215"/>
    <mergeCell ref="B18:E18"/>
    <mergeCell ref="D29:L29"/>
    <mergeCell ref="B223:E223"/>
    <mergeCell ref="D298:E298"/>
    <mergeCell ref="B220:E220"/>
    <mergeCell ref="D230:E230"/>
    <mergeCell ref="B11:E11"/>
    <mergeCell ref="B253:E253"/>
    <mergeCell ref="B117:E117"/>
    <mergeCell ref="B287:E287"/>
    <mergeCell ref="B119:E119"/>
    <mergeCell ref="B289:E289"/>
    <mergeCell ref="B116:E116"/>
    <mergeCell ref="G8:I8"/>
    <mergeCell ref="D329:O329"/>
    <mergeCell ref="D468:O468"/>
    <mergeCell ref="B49:E49"/>
    <mergeCell ref="G6:I6"/>
    <mergeCell ref="H22:O23"/>
    <mergeCell ref="A397:O397"/>
    <mergeCell ref="A27:F27"/>
    <mergeCell ref="B462:E462"/>
    <mergeCell ref="B222:E222"/>
    <mergeCell ref="A456:O456"/>
    <mergeCell ref="B154:E154"/>
    <mergeCell ref="B324:E324"/>
    <mergeCell ref="B429:E429"/>
    <mergeCell ref="B465:E465"/>
    <mergeCell ref="A362:O362"/>
    <mergeCell ref="D403:E403"/>
    <mergeCell ref="B430:E430"/>
    <mergeCell ref="A387:O387"/>
    <mergeCell ref="B464:E464"/>
    <mergeCell ref="G17:I17"/>
    <mergeCell ref="B392:E392"/>
    <mergeCell ref="B186:E186"/>
    <mergeCell ref="B288:E288"/>
    <mergeCell ref="B84:E84"/>
    <mergeCell ref="B118:E118"/>
    <mergeCell ref="L5:O5"/>
    <mergeCell ref="B290:E290"/>
    <mergeCell ref="L14:O14"/>
    <mergeCell ref="D34:L34"/>
    <mergeCell ref="B13:E13"/>
    <mergeCell ref="D364:O364"/>
    <mergeCell ref="B427:E427"/>
    <mergeCell ref="D437:E437"/>
    <mergeCell ref="A146:O146"/>
    <mergeCell ref="A422:O422"/>
    <mergeCell ref="D333:E333"/>
    <mergeCell ref="B255:E255"/>
    <mergeCell ref="B426:E426"/>
    <mergeCell ref="G10:I10"/>
    <mergeCell ref="G19:I19"/>
    <mergeCell ref="B394:E394"/>
    <mergeCell ref="B6:E6"/>
    <mergeCell ref="A283:O283"/>
    <mergeCell ref="B15:E15"/>
    <mergeCell ref="L6:O6"/>
    <mergeCell ref="B80:E80"/>
    <mergeCell ref="L46:O46"/>
    <mergeCell ref="B393:E393"/>
    <mergeCell ref="L80:O80"/>
    <mergeCell ref="L12:O12"/>
    <mergeCell ref="D363:E363"/>
    <mergeCell ref="G9:I9"/>
    <mergeCell ref="A249:O249"/>
    <mergeCell ref="B151:E151"/>
    <mergeCell ref="A258:O258"/>
    <mergeCell ref="D127:E127"/>
    <mergeCell ref="D433:O433"/>
    <mergeCell ref="B14:E14"/>
    <mergeCell ref="H27:O27"/>
    <mergeCell ref="D52:E52"/>
    <mergeCell ref="D398:E398"/>
    <mergeCell ref="B360:E360"/>
    <mergeCell ref="G13:I13"/>
    <mergeCell ref="B428:E428"/>
    <mergeCell ref="B463:E463"/>
    <mergeCell ref="D472:E472"/>
    <mergeCell ref="A317:O317"/>
    <mergeCell ref="B325:E325"/>
    <mergeCell ref="A3:O3"/>
    <mergeCell ref="G15:I15"/>
    <mergeCell ref="D53:O53"/>
    <mergeCell ref="B221:E221"/>
    <mergeCell ref="B361:E361"/>
    <mergeCell ref="L17:O17"/>
    <mergeCell ref="H21:O21"/>
    <mergeCell ref="L253:O253"/>
    <mergeCell ref="B47:E47"/>
    <mergeCell ref="A224:O224"/>
    <mergeCell ref="B115:E115"/>
    <mergeCell ref="B155:E155"/>
    <mergeCell ref="L19:O19"/>
    <mergeCell ref="B326:E326"/>
    <mergeCell ref="G16:I16"/>
    <mergeCell ref="B391:E391"/>
    <mergeCell ref="B12:E12"/>
  </mergeCells>
  <pageMargins left="0.5" right="0.5" top="0.6" bottom="0.6" header="0.5" footer="0.5"/>
  <pageSetup paperSize="9" fitToHeight="0" orientation="portrait"/>
  <rowBreaks count="13" manualBreakCount="13">
    <brk id="35" max="16383" man="1"/>
    <brk id="69" max="16383" man="1"/>
    <brk id="104" max="16383" man="1"/>
    <brk id="139" max="16383" man="1"/>
    <brk id="174" max="16383" man="1"/>
    <brk id="208" max="16383" man="1"/>
    <brk id="242" max="16383" man="1"/>
    <brk id="276" max="16383" man="1"/>
    <brk id="310" max="16383" man="1"/>
    <brk id="345" max="16383" man="1"/>
    <brk id="380" max="16383" man="1"/>
    <brk id="415" max="16383" man="1"/>
    <brk id="4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Rekap</vt:lpstr>
      <vt:lpstr>Koreksi_Terbayar</vt:lpstr>
      <vt:lpstr>Penelitian Okt 2026</vt:lpstr>
      <vt:lpstr>PPM Sep 2026</vt:lpstr>
      <vt:lpstr>PPM Okt 2026</vt:lpstr>
      <vt:lpstr>'Penelitian Okt 2026'!Print_Area</vt:lpstr>
      <vt:lpstr>'PPM Okt 2026'!Print_Area</vt:lpstr>
      <vt:lpstr>'PPM Sep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Mochammad Ridwan</cp:lastModifiedBy>
  <dcterms:created xsi:type="dcterms:W3CDTF">2026-09-24T19:59:24Z</dcterms:created>
  <dcterms:modified xsi:type="dcterms:W3CDTF">2026-09-24T19:59:38Z</dcterms:modified>
</cp:coreProperties>
</file>